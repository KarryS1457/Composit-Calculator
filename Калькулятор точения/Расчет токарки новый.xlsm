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storage\ФАЙЛООБМЕННИК\для Клименко\Калькулятор точения\"/>
    </mc:Choice>
  </mc:AlternateContent>
  <xr:revisionPtr revIDLastSave="0" documentId="13_ncr:1_{2679FF3A-04BB-428F-B8D2-385688CC23E6}" xr6:coauthVersionLast="47" xr6:coauthVersionMax="47" xr10:uidLastSave="{00000000-0000-0000-0000-000000000000}"/>
  <bookViews>
    <workbookView xWindow="13890" yWindow="3090" windowWidth="10245" windowHeight="12075" tabRatio="717" xr2:uid="{3319175A-366A-4509-82E9-4F13C5AB1865}"/>
  </bookViews>
  <sheets>
    <sheet name="Калькулятор" sheetId="1" r:id="rId1"/>
    <sheet name="Типы станков" sheetId="4" r:id="rId2"/>
    <sheet name="Лист1" sheetId="10" r:id="rId3"/>
    <sheet name="Получение данных для расчета" sheetId="9" r:id="rId4"/>
    <sheet name="Расчет резьбы" sheetId="12" r:id="rId5"/>
    <sheet name="Обороты резьба машин" sheetId="13" r:id="rId6"/>
    <sheet name="Лист3" sheetId="8" r:id="rId7"/>
    <sheet name="Кооф вспом работ" sheetId="11" r:id="rId8"/>
    <sheet name="Параметры заготовки" sheetId="6" r:id="rId9"/>
    <sheet name="Параметры изделий" sheetId="3" r:id="rId10"/>
    <sheet name="Типы изделий" sheetId="2" r:id="rId11"/>
  </sheet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2" l="1"/>
  <c r="E99" i="9"/>
  <c r="H35" i="9"/>
  <c r="A5" i="8"/>
  <c r="A20" i="8"/>
  <c r="A19" i="8"/>
  <c r="D6" i="1"/>
  <c r="D7" i="1"/>
  <c r="D8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5" i="1"/>
  <c r="A5" i="1"/>
  <c r="B78" i="9" s="1"/>
  <c r="A10" i="1"/>
  <c r="A12" i="1"/>
  <c r="A13" i="1"/>
  <c r="A14" i="1"/>
  <c r="A15" i="1"/>
  <c r="A16" i="1"/>
  <c r="A17" i="1"/>
  <c r="A18" i="1"/>
  <c r="A19" i="1"/>
  <c r="A20" i="1"/>
  <c r="A21" i="1"/>
  <c r="A22" i="1"/>
  <c r="A11" i="1"/>
  <c r="A6" i="1"/>
  <c r="A7" i="1"/>
  <c r="A8" i="1"/>
  <c r="A9" i="1"/>
  <c r="B46" i="9" l="1"/>
  <c r="B89" i="9"/>
  <c r="E30" i="9"/>
  <c r="F21" i="9"/>
  <c r="B2" i="12"/>
  <c r="B3" i="12"/>
  <c r="B7" i="12" s="1"/>
  <c r="B9" i="12" s="1"/>
  <c r="B4" i="12"/>
  <c r="B1" i="12"/>
  <c r="F20" i="9"/>
  <c r="B88" i="9" s="1"/>
  <c r="F19" i="9"/>
  <c r="F18" i="9"/>
  <c r="C55" i="9"/>
  <c r="F12" i="9"/>
  <c r="F15" i="9"/>
  <c r="F16" i="9" s="1" a="1"/>
  <c r="F16" i="9" s="1"/>
  <c r="B68" i="9"/>
  <c r="B69" i="9" s="1" a="1"/>
  <c r="B69" i="9" s="1"/>
  <c r="F13" i="9"/>
  <c r="F14" i="9"/>
  <c r="F11" i="9"/>
  <c r="B91" i="9"/>
  <c r="F9" i="9"/>
  <c r="F1" i="9"/>
  <c r="F2" i="9" s="1"/>
  <c r="F3" i="9"/>
  <c r="B62" i="9"/>
  <c r="B64" i="9"/>
  <c r="B65" i="9"/>
  <c r="B66" i="9" s="1" a="1"/>
  <c r="B66" i="9" s="1"/>
  <c r="B27" i="9"/>
  <c r="B5" i="9"/>
  <c r="B60" i="9"/>
  <c r="B61" i="9" s="1" a="1"/>
  <c r="B61" i="9" s="1"/>
  <c r="B4" i="9"/>
  <c r="B59" i="9"/>
  <c r="B6" i="9"/>
  <c r="B48" i="9"/>
  <c r="B53" i="9" s="1" a="1"/>
  <c r="B53" i="9" s="1"/>
  <c r="B3" i="9"/>
  <c r="B47" i="9"/>
  <c r="B52" i="9" s="1" a="1"/>
  <c r="B52" i="9" s="1"/>
  <c r="B71" i="9" s="1"/>
  <c r="B44" i="9"/>
  <c r="B50" i="9" s="1" a="1"/>
  <c r="B50" i="9" s="1"/>
  <c r="B45" i="9"/>
  <c r="B49" i="9" s="1" a="1"/>
  <c r="B49" i="9" s="1"/>
  <c r="B41" i="9"/>
  <c r="B28" i="9"/>
  <c r="B25" i="9"/>
  <c r="K129" i="9" s="1"/>
  <c r="B1" i="9"/>
  <c r="B29" i="9"/>
  <c r="B7" i="9"/>
  <c r="B9" i="9"/>
  <c r="B13" i="9"/>
  <c r="E129" i="9" s="1"/>
  <c r="B15" i="9"/>
  <c r="F129" i="9" s="1"/>
  <c r="B17" i="9"/>
  <c r="G129" i="9" s="1"/>
  <c r="B19" i="9"/>
  <c r="H129" i="9" s="1"/>
  <c r="B21" i="9"/>
  <c r="I129" i="9" s="1"/>
  <c r="B23" i="9"/>
  <c r="J129" i="9" s="1"/>
  <c r="B10" i="9"/>
  <c r="B11" i="9"/>
  <c r="B30" i="9"/>
  <c r="B12" i="9"/>
  <c r="B8" i="9"/>
  <c r="A2" i="8"/>
  <c r="A3" i="8"/>
  <c r="B2" i="9"/>
  <c r="A1" i="8"/>
  <c r="B108" i="9" l="1"/>
  <c r="B125" i="9" s="1"/>
  <c r="B6" i="12"/>
  <c r="B11" i="12" s="1"/>
  <c r="B10" i="12"/>
  <c r="B5" i="12"/>
  <c r="B107" i="9"/>
  <c r="B84" i="9"/>
  <c r="B58" i="9"/>
  <c r="B55" i="9"/>
  <c r="E55" i="9"/>
  <c r="F7" i="9"/>
  <c r="B85" i="9"/>
  <c r="B57" i="9"/>
  <c r="B56" i="9"/>
  <c r="B63" i="9"/>
  <c r="B87" i="9"/>
  <c r="B104" i="9" s="1"/>
  <c r="B83" i="9"/>
  <c r="B70" i="9"/>
  <c r="B82" i="9"/>
  <c r="B97" i="9" s="1"/>
  <c r="F17" i="9"/>
  <c r="B80" i="9"/>
  <c r="B96" i="9" s="1"/>
  <c r="B81" i="9"/>
  <c r="B100" i="9" s="1"/>
  <c r="B86" i="9"/>
  <c r="B102" i="9" s="1"/>
  <c r="B105" i="9"/>
  <c r="B51" i="9" a="1"/>
  <c r="B51" i="9" s="1"/>
  <c r="B54" i="9" s="1"/>
  <c r="F5" i="9"/>
  <c r="F10" i="9"/>
  <c r="F4" i="9"/>
  <c r="B67" i="9"/>
  <c r="G40" i="9"/>
  <c r="B42" i="9"/>
  <c r="B35" i="9"/>
  <c r="B33" i="9"/>
  <c r="B34" i="9" s="1"/>
  <c r="B31" i="9"/>
  <c r="B32" i="9" s="1"/>
  <c r="E1" i="1"/>
  <c r="B39" i="9"/>
  <c r="B40" i="9" s="1"/>
  <c r="B37" i="9"/>
  <c r="B38" i="9" s="1"/>
  <c r="D40" i="9"/>
  <c r="D129" i="9"/>
  <c r="B129" i="9"/>
  <c r="C129" i="9"/>
  <c r="B12" i="12" l="1"/>
  <c r="E3" i="1" s="1"/>
  <c r="B123" i="9"/>
  <c r="B106" i="9"/>
  <c r="B122" i="9" s="1"/>
  <c r="B120" i="9"/>
  <c r="B121" i="9"/>
  <c r="B115" i="9"/>
  <c r="F6" i="9"/>
  <c r="F8" i="9" s="1"/>
  <c r="B103" i="9" s="1"/>
  <c r="B119" i="9" s="1"/>
  <c r="B118" i="9"/>
  <c r="B98" i="9"/>
  <c r="B113" i="9" s="1"/>
  <c r="B101" i="9"/>
  <c r="B117" i="9" s="1"/>
  <c r="B99" i="9"/>
  <c r="B114" i="9" s="1"/>
  <c r="B111" i="9"/>
  <c r="B112" i="9"/>
  <c r="B36" i="9"/>
  <c r="B43" i="9"/>
  <c r="B130" i="9"/>
  <c r="B116" i="9" s="1"/>
  <c r="B124" i="9" l="1"/>
  <c r="E2" i="1"/>
</calcChain>
</file>

<file path=xl/sharedStrings.xml><?xml version="1.0" encoding="utf-8"?>
<sst xmlns="http://schemas.openxmlformats.org/spreadsheetml/2006/main" count="458" uniqueCount="244">
  <si>
    <t>Тип изделия</t>
  </si>
  <si>
    <t>Кольцо приварное</t>
  </si>
  <si>
    <t>Фланец приварной</t>
  </si>
  <si>
    <t>Фланец компенсатора</t>
  </si>
  <si>
    <t>Фланец формующий</t>
  </si>
  <si>
    <t>Обечайка</t>
  </si>
  <si>
    <t>Фланец поворотный</t>
  </si>
  <si>
    <t>Круг</t>
  </si>
  <si>
    <t>Фланец переходной</t>
  </si>
  <si>
    <t>Параметры заготовки</t>
  </si>
  <si>
    <t>Параметры детали</t>
  </si>
  <si>
    <t>1М63</t>
  </si>
  <si>
    <t>Режим</t>
  </si>
  <si>
    <t>Внутренний диаметр (d)</t>
  </si>
  <si>
    <t>Внешний диметр (D)</t>
  </si>
  <si>
    <t>Габарит детали (t)</t>
  </si>
  <si>
    <r>
      <t>Диаметр проточки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)</t>
    </r>
  </si>
  <si>
    <t>Глубина проточки (a)</t>
  </si>
  <si>
    <t>Размер фаски 1 (ch1)</t>
  </si>
  <si>
    <t>Размер фаски 2 (ch2)</t>
  </si>
  <si>
    <t>Размер фаски 3 (ch3)</t>
  </si>
  <si>
    <t>Внешний диаметр (D1)</t>
  </si>
  <si>
    <t>Внутренний диаметр (D2)</t>
  </si>
  <si>
    <t>Толщина листа (S)</t>
  </si>
  <si>
    <t>Количество внешних проходов</t>
  </si>
  <si>
    <t>Количество торцевых проходов проходов</t>
  </si>
  <si>
    <t>1М65</t>
  </si>
  <si>
    <t>определяем позицию в списке</t>
  </si>
  <si>
    <t>Получаем значение</t>
  </si>
  <si>
    <t>Тип станка</t>
  </si>
  <si>
    <t>Максимальный диаметр</t>
  </si>
  <si>
    <t>Сравнение с таблицей и получение модели станка</t>
  </si>
  <si>
    <t>Глубина внешнего точения (D1-D)</t>
  </si>
  <si>
    <t>Глубина торцовки (S-t)</t>
  </si>
  <si>
    <t>Длина торцовки (D1-D2)</t>
  </si>
  <si>
    <t>Глубина внутреннего точения (d-D2)</t>
  </si>
  <si>
    <t>Длина внутренней проточки (Dm-d)</t>
  </si>
  <si>
    <t>Угол фаски (ch1)</t>
  </si>
  <si>
    <t>Угол фаски (ch2)</t>
  </si>
  <si>
    <t>Угол фаски (ch3)</t>
  </si>
  <si>
    <t>Расчет длинны фасок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</si>
  <si>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</si>
  <si>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</si>
  <si>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</si>
  <si>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</si>
  <si>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</si>
  <si>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</si>
  <si>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</si>
  <si>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</si>
  <si>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</si>
  <si>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</si>
  <si>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Фланец приварной ТНФ</t>
  </si>
  <si>
    <t>Диаметр 2-ой проточки (Dw)</t>
  </si>
  <si>
    <t>Глубина 2-ой проточки (b)</t>
  </si>
  <si>
    <t>Длина 2-ой внутренней проточки (Dw-d)</t>
  </si>
  <si>
    <t>Глубина 2-ой внутренней проточки (t-b)</t>
  </si>
  <si>
    <t>Сием продольное точение</t>
  </si>
  <si>
    <t>Сием поперечное точение</t>
  </si>
  <si>
    <t xml:space="preserve">Подача продольная </t>
  </si>
  <si>
    <t>Подача поперечная</t>
  </si>
  <si>
    <t>Длина внешнего точения (S)</t>
  </si>
  <si>
    <t>Общий путь наружнего точения</t>
  </si>
  <si>
    <t>Количество проходов внутреннего точения</t>
  </si>
  <si>
    <t>Сием продольное внутр. Точение</t>
  </si>
  <si>
    <t>Подача продольная внутр. Точение</t>
  </si>
  <si>
    <t>Общий путь внутреннего точения</t>
  </si>
  <si>
    <t>Длина внутреннего точения (t)</t>
  </si>
  <si>
    <t>Количество проходов внутренней проточки</t>
  </si>
  <si>
    <t>Количество проходов 2-ой внутренней  проточки</t>
  </si>
  <si>
    <t>Общая длина фасок</t>
  </si>
  <si>
    <t>Размер фаски 4 (ch4)</t>
  </si>
  <si>
    <t>Угол фаски (ch4)</t>
  </si>
  <si>
    <t>Размер фаски 5 (ch5)</t>
  </si>
  <si>
    <t>Угол фаски (ch5)</t>
  </si>
  <si>
    <t>Размер фаски 6 (ch6)</t>
  </si>
  <si>
    <t>Угол фаски (ch6)</t>
  </si>
  <si>
    <t>Размер фаски 7 (ch7)</t>
  </si>
  <si>
    <t>Угол фаски (ch7)</t>
  </si>
  <si>
    <t>Размер фаски 8 (ch8)</t>
  </si>
  <si>
    <t>Угол фаски (ch8)</t>
  </si>
  <si>
    <t>Размер фаски 9 (ch9)</t>
  </si>
  <si>
    <t>Угол фаски (ch9)</t>
  </si>
  <si>
    <t>Размер фаски 10 (ch10)</t>
  </si>
  <si>
    <t>Угол фаски (ch10)</t>
  </si>
  <si>
    <t>Количество витков при торцовке</t>
  </si>
  <si>
    <t>Количество витков при 1-ой проточке</t>
  </si>
  <si>
    <t>Путь 1-го прохода торцовки</t>
  </si>
  <si>
    <t>Путь 1-го прохода при 1-ой проточке</t>
  </si>
  <si>
    <t>Количество витков при 2-ой проточке</t>
  </si>
  <si>
    <t>Путь 1-го прохода при 2-ой проточке</t>
  </si>
  <si>
    <t>Количество шагов внешн. Диаметр</t>
  </si>
  <si>
    <t>Путь 1-го прохода внеш. Точения</t>
  </si>
  <si>
    <t>Количество шагов внутр. Диаметр</t>
  </si>
  <si>
    <t>Путь 1-го прохода внутр. Точения</t>
  </si>
  <si>
    <t>Скорость резания продольная мм/мин</t>
  </si>
  <si>
    <t>Скорость резания поперечная мм/мин</t>
  </si>
  <si>
    <t>Скорость резания фасок мм/мин</t>
  </si>
  <si>
    <t>время нар. Точения</t>
  </si>
  <si>
    <t>время внутр. Точения</t>
  </si>
  <si>
    <t>Общий путь торцовки</t>
  </si>
  <si>
    <t>Время торцовки</t>
  </si>
  <si>
    <t>Время точения фасок</t>
  </si>
  <si>
    <t>Время токарной обработки</t>
  </si>
  <si>
    <t>с.</t>
  </si>
  <si>
    <t>Рабочий центр</t>
  </si>
  <si>
    <t>Глубина 2-ой проточки (с)</t>
  </si>
  <si>
    <t>Глубина 2-ой внутренней проточки (с)</t>
  </si>
  <si>
    <t>Формующие</t>
  </si>
  <si>
    <t>Количество проходов 2-ой внутренней  проточки Формующие</t>
  </si>
  <si>
    <t>Количество витков при 2-ой проточке Формующие</t>
  </si>
  <si>
    <t>Путь 1-го прохода при 2-ой проточке Формующие</t>
  </si>
  <si>
    <t>Средний диаметр</t>
  </si>
  <si>
    <t>средний диаметр 1-ой проточки</t>
  </si>
  <si>
    <t>средний диаметр 2-ой проточки</t>
  </si>
  <si>
    <t>Получаем знач. Ближ. Среднего по станкам 2 прот</t>
  </si>
  <si>
    <t>Получаем знач. Ближ. Среднего по станкам 1 прот</t>
  </si>
  <si>
    <t>средний диаметр торцовки</t>
  </si>
  <si>
    <t>Получаем знач. Ближ. Среднего по станкам торц</t>
  </si>
  <si>
    <t>Мин подача для торцовки</t>
  </si>
  <si>
    <t>Мин подача для внеш точения</t>
  </si>
  <si>
    <t>Мин подача для внутр точения</t>
  </si>
  <si>
    <t>Мин подача для внутр 1-го растачивания</t>
  </si>
  <si>
    <t>Мин подача для внутр 2-го растачивания</t>
  </si>
  <si>
    <t>Получаем знач. Ближ. Среднего по станкам нар диаметр</t>
  </si>
  <si>
    <t>Получаем знач. Ближ. Среднего по станкам внутр диаметр</t>
  </si>
  <si>
    <t>средний диаметр нар. (заготовка минус деталь)</t>
  </si>
  <si>
    <t>средний диаметр внутр. (заготовка минус деталь)</t>
  </si>
  <si>
    <t>время внутр.1-го Растачивания</t>
  </si>
  <si>
    <t>время внутр. 2-гоРастачивания</t>
  </si>
  <si>
    <t>Общий путь 1-ой внутренней проточки</t>
  </si>
  <si>
    <t>Общий путь 2-ой внутренней проточки</t>
  </si>
  <si>
    <r>
      <t>Внешний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1)</t>
    </r>
  </si>
  <si>
    <r>
      <t>Внутренний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2)</t>
    </r>
  </si>
  <si>
    <t>Глубина канавки (К)</t>
  </si>
  <si>
    <t>Глубина упорно бурта (Е)</t>
  </si>
  <si>
    <t>Радиус 1 (r1)</t>
  </si>
  <si>
    <t>Радиус 2 (r2)</t>
  </si>
  <si>
    <t>VL-1600</t>
  </si>
  <si>
    <t>CK5126</t>
  </si>
  <si>
    <t>Глубина внутренней проточки (a/E)</t>
  </si>
  <si>
    <t>Глубина канавки фланца компенсатора (К-Е)</t>
  </si>
  <si>
    <t>средний диаметр 1-ой расточки с канавой</t>
  </si>
  <si>
    <t>Получаем знач. Ближ. Среднего по станкам 1 расточки с канавой</t>
  </si>
  <si>
    <t>Общий путь 1-ой внутренней проточки с канавой</t>
  </si>
  <si>
    <t>Длина расточки с канавой (DM1-d)</t>
  </si>
  <si>
    <t>Время точения 1-ой внутренней проточки с канавой</t>
  </si>
  <si>
    <t>Мин подача для внутр 1-го растачивания с канавкой</t>
  </si>
  <si>
    <t>Ширина канавы торцевая фланцы (DM1-dM2)</t>
  </si>
  <si>
    <t xml:space="preserve">   </t>
  </si>
  <si>
    <t>ширина канавочного резца</t>
  </si>
  <si>
    <t>Подача на канаву</t>
  </si>
  <si>
    <t>Количество проходов канавы</t>
  </si>
  <si>
    <t>Общий путь канавы</t>
  </si>
  <si>
    <t>Средний диаметр канавы</t>
  </si>
  <si>
    <t>Получаем знач. Ближ. Среднего по станкам канавы</t>
  </si>
  <si>
    <t>Мин подача для точения канавы</t>
  </si>
  <si>
    <t>Время точения канавы</t>
  </si>
  <si>
    <t>Фланец поворотный сферический</t>
  </si>
  <si>
    <t>Радиус сферич. Части (RS)</t>
  </si>
  <si>
    <t>Угол сферич. Части (RA)</t>
  </si>
  <si>
    <t>Угол выхода сфер.части (A1)</t>
  </si>
  <si>
    <t>Глубина сфер части (as)</t>
  </si>
  <si>
    <t xml:space="preserve">Длина хорды </t>
  </si>
  <si>
    <t>Высота сфер. Части</t>
  </si>
  <si>
    <t>Площадь сегмента</t>
  </si>
  <si>
    <t>Площадь 2-го сегмента</t>
  </si>
  <si>
    <t>Площадь оставшегося треугольника</t>
  </si>
  <si>
    <t>Общая площадь</t>
  </si>
  <si>
    <t>Площадь виртуального пикселя</t>
  </si>
  <si>
    <t>количество пикселей/длина точения</t>
  </si>
  <si>
    <t>Общий путь сферической части</t>
  </si>
  <si>
    <t>Длина сферы</t>
  </si>
  <si>
    <t>Длина выхода радиуса</t>
  </si>
  <si>
    <t>Время точения сферической части</t>
  </si>
  <si>
    <t>Втулка резьбовая</t>
  </si>
  <si>
    <t>Диаметр резьбы (М)</t>
  </si>
  <si>
    <t>Шаг резьбы (Н)</t>
  </si>
  <si>
    <t>Длина резьбы (L)</t>
  </si>
  <si>
    <t>0Л52</t>
  </si>
  <si>
    <t>16К20</t>
  </si>
  <si>
    <t>0</t>
  </si>
  <si>
    <t>19</t>
  </si>
  <si>
    <t>9</t>
  </si>
  <si>
    <t>29</t>
  </si>
  <si>
    <t>49</t>
  </si>
  <si>
    <t>39</t>
  </si>
  <si>
    <t>59</t>
  </si>
  <si>
    <t>79</t>
  </si>
  <si>
    <t>69</t>
  </si>
  <si>
    <t>Коофицент вспомогательных работ</t>
  </si>
  <si>
    <t>10000000</t>
  </si>
  <si>
    <r>
      <t>Диаметр торцевой канавы (D</t>
    </r>
    <r>
      <rPr>
        <sz val="8"/>
        <color theme="1"/>
        <rFont val="Calibri"/>
        <family val="2"/>
        <charset val="204"/>
        <scheme val="minor"/>
      </rPr>
      <t>k</t>
    </r>
    <r>
      <rPr>
        <sz val="11"/>
        <color theme="1"/>
        <rFont val="Calibri"/>
        <family val="2"/>
        <charset val="204"/>
        <scheme val="minor"/>
      </rPr>
      <t xml:space="preserve"> max)</t>
    </r>
  </si>
  <si>
    <t>Глубина торцевых канав (P)</t>
  </si>
  <si>
    <t>Количество торцевых канав (n)</t>
  </si>
  <si>
    <t>Длина внутренней проточки (D-Dm)</t>
  </si>
  <si>
    <t>Количество проходов внешней проточки (переходной)</t>
  </si>
  <si>
    <t>Глубина внешней проточки (Ch5)</t>
  </si>
  <si>
    <t>Общий путь 1-ой внешней проточки (переходной)</t>
  </si>
  <si>
    <t>время внешней проточки (переходной)</t>
  </si>
  <si>
    <t>средний диаметр внеш проточки. (D-DM) (переходной)</t>
  </si>
  <si>
    <t>Получаем знач. Ближ. Среднего по станкам внеш проточки. (D-DM) (переходной)</t>
  </si>
  <si>
    <t>Мин подача для торцовки внеш проточки. (D-DM) (переходной)</t>
  </si>
  <si>
    <t>Получаем знач. Ближ. Среднего по станкам (Dk max)</t>
  </si>
  <si>
    <t>Мин подача для (Dk max)</t>
  </si>
  <si>
    <t>Общий путь торцевых канав (P*n)</t>
  </si>
  <si>
    <t>времяторцевых канав (переходной)</t>
  </si>
  <si>
    <t>Втулка</t>
  </si>
  <si>
    <t>Ширина канавы (Х)</t>
  </si>
  <si>
    <t>Начало канавы (Y)</t>
  </si>
  <si>
    <t>Диаметр дна канавы (Dk)</t>
  </si>
  <si>
    <t>Кольцо закладное ?</t>
  </si>
  <si>
    <t>Штифт</t>
  </si>
  <si>
    <t>Внешний диметр 2 (Dc)</t>
  </si>
  <si>
    <t>Длина внешнего точения габарит (штифт)</t>
  </si>
  <si>
    <t>Длина внешнего точения (а) (штифт)</t>
  </si>
  <si>
    <t>Общий путь наружнего точения (Штифт)</t>
  </si>
  <si>
    <t>Общий путь наружнего точения (а) (Штифт)</t>
  </si>
  <si>
    <t>Высота точения на сторону (D-Dc) (Штифт)</t>
  </si>
  <si>
    <t>Количество внешних проходов 2 (Штифт)</t>
  </si>
  <si>
    <t>время внешней проточки (Штифт)</t>
  </si>
  <si>
    <t>время внешней проточки 2 (Штифт)</t>
  </si>
  <si>
    <t>съем на резьбе</t>
  </si>
  <si>
    <t>Внеш. Рез.=1/Внутр.  Рез.=0</t>
  </si>
  <si>
    <t>Флаг ручной нарезки внеш. Резьбы</t>
  </si>
  <si>
    <t>Флаг ручной нарезки внутр. Резьбы</t>
  </si>
  <si>
    <t>Количество проходов</t>
  </si>
  <si>
    <t>Сьем резьбы</t>
  </si>
  <si>
    <t>Глубина резьбы</t>
  </si>
  <si>
    <t>Общий путь точения резьбы</t>
  </si>
  <si>
    <t>Обороты резания</t>
  </si>
  <si>
    <t>Внеш.руч.</t>
  </si>
  <si>
    <t>Внутр.руч</t>
  </si>
  <si>
    <t>Внеш.маш</t>
  </si>
  <si>
    <t>Тип нарезки</t>
  </si>
  <si>
    <t>Обороты</t>
  </si>
  <si>
    <t>Внутр.маш</t>
  </si>
  <si>
    <t>время</t>
  </si>
  <si>
    <t>Время точения резьбы</t>
  </si>
  <si>
    <t>Время обработки резьбы</t>
  </si>
  <si>
    <t>Мин подача для внеш конавки. (Dw-DК) (Втулки)</t>
  </si>
  <si>
    <t>Глубина точения внешней конавы</t>
  </si>
  <si>
    <t>Количество проходов внешней канавы (Втулки)</t>
  </si>
  <si>
    <t>Общий путь канавы внешней (Втулка)</t>
  </si>
  <si>
    <t>Время точенияканавы внешней (Втулка)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</si>
</sst>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2C2D2E"/>
      <name val="Arial"/>
      <family val="2"/>
      <charset val="204"/>
    </font>
    <font>
      <sz val="11"/>
      <color rgb="FF000000"/>
      <name val="Arial1"/>
      <charset val="204"/>
    </font>
    <font>
      <i/>
      <sz val="11"/>
      <color rgb="FF000000"/>
      <name val="Arial1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2" fillId="4" borderId="1" xfId="2" applyBorder="1"/>
    <xf numFmtId="0" fontId="2" fillId="3" borderId="1" xfId="1" applyBorder="1"/>
    <xf numFmtId="0" fontId="2" fillId="5" borderId="1" xfId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0" xfId="0" applyFill="1"/>
    <xf numFmtId="0" fontId="0" fillId="9" borderId="1" xfId="0" applyFill="1" applyBorder="1"/>
    <xf numFmtId="49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10" borderId="0" xfId="0" applyFill="1"/>
    <xf numFmtId="0" fontId="0" fillId="0" borderId="3" xfId="0" applyBorder="1"/>
    <xf numFmtId="0" fontId="0" fillId="11" borderId="1" xfId="0" applyFill="1" applyBorder="1"/>
    <xf numFmtId="0" fontId="0" fillId="11" borderId="1" xfId="0" applyFill="1" applyBorder="1" applyAlignment="1">
      <alignment horizontal="center" vertical="center"/>
    </xf>
    <xf numFmtId="0" fontId="0" fillId="7" borderId="4" xfId="0" applyFill="1" applyBorder="1"/>
    <xf numFmtId="0" fontId="0" fillId="10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left" vertical="center"/>
    </xf>
    <xf numFmtId="0" fontId="0" fillId="0" borderId="5" xfId="0" applyBorder="1"/>
    <xf numFmtId="0" fontId="4" fillId="12" borderId="3" xfId="0" applyFont="1" applyFill="1" applyBorder="1"/>
    <xf numFmtId="0" fontId="4" fillId="12" borderId="6" xfId="0" applyFont="1" applyFill="1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0" fillId="5" borderId="1" xfId="1" applyFont="1" applyFill="1" applyBorder="1"/>
    <xf numFmtId="0" fontId="0" fillId="5" borderId="0" xfId="1" applyFont="1" applyFill="1" applyBorder="1"/>
    <xf numFmtId="2" fontId="0" fillId="0" borderId="1" xfId="0" applyNumberFormat="1" applyBorder="1"/>
    <xf numFmtId="2" fontId="4" fillId="0" borderId="1" xfId="0" applyNumberFormat="1" applyFont="1" applyBorder="1"/>
    <xf numFmtId="2" fontId="0" fillId="0" borderId="4" xfId="0" applyNumberFormat="1" applyBorder="1"/>
    <xf numFmtId="2" fontId="0" fillId="0" borderId="2" xfId="0" applyNumberFormat="1" applyBorder="1"/>
    <xf numFmtId="2" fontId="0" fillId="0" borderId="9" xfId="0" applyNumberFormat="1" applyBorder="1"/>
    <xf numFmtId="164" fontId="6" fillId="0" borderId="10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0" fontId="0" fillId="5" borderId="0" xfId="0" applyFill="1"/>
    <xf numFmtId="0" fontId="0" fillId="8" borderId="0" xfId="0" applyFill="1"/>
    <xf numFmtId="0" fontId="0" fillId="14" borderId="0" xfId="0" applyFill="1"/>
    <xf numFmtId="0" fontId="0" fillId="0" borderId="0" xfId="0" applyAlignment="1">
      <alignment horizontal="center"/>
    </xf>
    <xf numFmtId="0" fontId="0" fillId="15" borderId="1" xfId="0" applyFill="1" applyBorder="1"/>
    <xf numFmtId="0" fontId="0" fillId="15" borderId="11" xfId="0" applyFill="1" applyBorder="1"/>
    <xf numFmtId="0" fontId="0" fillId="15" borderId="0" xfId="0" applyFill="1"/>
    <xf numFmtId="0" fontId="0" fillId="13" borderId="1" xfId="0" applyFill="1" applyBorder="1"/>
    <xf numFmtId="0" fontId="0" fillId="14" borderId="1" xfId="0" applyFill="1" applyBorder="1"/>
    <xf numFmtId="0" fontId="0" fillId="5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20% — акцент1" xfId="1" builtinId="30"/>
    <cellStyle name="40% — акцент4" xfId="2" builtinId="43"/>
    <cellStyle name="Обычный" xfId="0" builtinId="0"/>
  </cellStyles>
  <dxfs count="11"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4</xdr:row>
      <xdr:rowOff>12700</xdr:rowOff>
    </xdr:from>
    <xdr:to>
      <xdr:col>8</xdr:col>
      <xdr:colOff>1383567</xdr:colOff>
      <xdr:row>24</xdr:row>
      <xdr:rowOff>12700</xdr:rowOff>
    </xdr:to>
    <xdr:pic>
      <xdr:nvPicPr>
        <xdr:cNvPr id="7" name="_G5_autopaste">
          <a:extLst>
            <a:ext uri="{FF2B5EF4-FFF2-40B4-BE49-F238E27FC236}">
              <a16:creationId xmlns:a16="http://schemas.microsoft.com/office/drawing/2014/main" id="{2D78047E-A7F5-3C81-0101-B1790F52B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803275"/>
          <a:ext cx="3304442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1158240</xdr:colOff>
      <xdr:row>13</xdr:row>
      <xdr:rowOff>148590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32A4C3-FBB6-C975-BB23-FE2073A0DE3A}"/>
            </a:ext>
          </a:extLst>
        </xdr:cNvPr>
        <xdr:cNvSpPr txBox="1"/>
      </xdr:nvSpPr>
      <xdr:spPr>
        <a:xfrm>
          <a:off x="6629400" y="21602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C13F3A-C6C6-45CE-97CE-77E3E2BA1D0C}" name="Таблица5" displayName="Таблица5" ref="A1:F14" totalsRowShown="0">
  <autoFilter ref="A1:F14" xr:uid="{23C13F3A-C6C6-45CE-97CE-77E3E2BA1D0C}"/>
  <tableColumns count="6">
    <tableColumn id="1" xr3:uid="{56E22B14-F70D-4686-AD88-FEC2FE88CFD9}" name="Режим"/>
    <tableColumn id="2" xr3:uid="{46066924-29EF-45B9-A5A6-0386005EDB39}" name="16К20"/>
    <tableColumn id="3" xr3:uid="{F94C776F-A069-4091-AA37-0ED3A15F0AD0}" name="1М63"/>
    <tableColumn id="4" xr3:uid="{2F121EAF-33A2-4B27-95AF-A7BAB05DF206}" name="1М65"/>
    <tableColumn id="5" xr3:uid="{F94A387B-4865-4BAA-858F-6D1AFE568297}" name="VL-1600"/>
    <tableColumn id="6" xr3:uid="{D812808C-6321-4C05-AB3B-2D75AFFD2340}" name="CK5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46A726-65A2-49BD-98D6-370B8373BF34}" name="Таблица3" displayName="Таблица3" ref="A1:G41" totalsRowShown="0" headerRowDxfId="10" headerRowBorderDxfId="9" tableBorderDxfId="8" totalsRowBorderDxfId="7">
  <autoFilter ref="A1:G41" xr:uid="{7246A726-65A2-49BD-98D6-370B8373BF34}"/>
  <tableColumns count="7">
    <tableColumn id="1" xr3:uid="{F6EC1B31-9F14-4504-885A-8207FF9BE69D}" name="Средний диаметр" dataDxfId="6"/>
    <tableColumn id="2" xr3:uid="{23C2269F-3001-4E07-A71B-D40FBDA5078A}" name="0Л52" dataDxfId="5"/>
    <tableColumn id="3" xr3:uid="{B483CED8-BF5F-4D87-9D80-5C5CCD658F74}" name="1М63" dataDxfId="4"/>
    <tableColumn id="4" xr3:uid="{33008AC1-E2CD-4F01-88D9-24794A3FD886}" name="1М65" dataDxfId="3"/>
    <tableColumn id="5" xr3:uid="{3B4DBEC3-0296-4249-A323-AB3585E0A152}" name="VL-1600" dataDxfId="2"/>
    <tableColumn id="6" xr3:uid="{6304F4C2-F471-49AA-AB6C-220996CA6FF9}" name="CK5126" dataDxfId="1"/>
    <tableColumn id="7" xr3:uid="{7C59330E-3540-41FD-963C-F82C89E18759}" name="16К20" dataDxfId="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CE6447-EB51-458B-BC38-C914DB7B9D50}" name="Таблица7" displayName="Таблица7" ref="A1:B5" totalsRowShown="0">
  <autoFilter ref="A1:B5" xr:uid="{99CE6447-EB51-458B-BC38-C914DB7B9D50}"/>
  <tableColumns count="2">
    <tableColumn id="1" xr3:uid="{CC0B0D35-BC13-42F5-9488-44D588E3E4C9}" name="Тип нарезки"/>
    <tableColumn id="2" xr3:uid="{AF758158-54D4-4661-A4B7-59BE0CD4794A}" name="Обороты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528332-4872-47CC-99D7-6663FD9F0A47}" name="Таблица6" displayName="Таблица6" ref="A1:J12" totalsRowShown="0">
  <autoFilter ref="A1:J12" xr:uid="{6A528332-4872-47CC-99D7-6663FD9F0A47}"/>
  <tableColumns count="10">
    <tableColumn id="1" xr3:uid="{4FA2E80B-E7C3-47A7-90C1-FF21FA0173C6}" name="10000000"/>
    <tableColumn id="2" xr3:uid="{F469D969-ADB0-47F7-8D59-79121D6BE402}" name="0"/>
    <tableColumn id="3" xr3:uid="{0D056078-9C54-49E0-8852-A626E21FC5C5}" name="9"/>
    <tableColumn id="4" xr3:uid="{74D725D8-114F-4628-89EA-85DC4BC318AF}" name="19"/>
    <tableColumn id="5" xr3:uid="{E7C6CCFF-9DB3-4F55-8AB0-0D1C12757981}" name="29"/>
    <tableColumn id="6" xr3:uid="{A85D4AAA-E56B-414C-A580-1CC15C8429DF}" name="39"/>
    <tableColumn id="7" xr3:uid="{DA5307CB-F9DE-40C9-A053-880571FA9645}" name="49"/>
    <tableColumn id="8" xr3:uid="{3CE240FF-511F-43CD-A51E-CE2A97BB87B1}" name="59"/>
    <tableColumn id="9" xr3:uid="{851DD784-46DF-4525-A639-5464257290CE}" name="69"/>
    <tableColumn id="10" xr3:uid="{AE5C49F6-F403-4979-8039-A222BC12079B}" name="7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68053D-9E3E-4F61-B951-9702171ABDD9}" name="Таблица4" displayName="Таблица4" ref="A1:M19" totalsRowShown="0">
  <autoFilter ref="A1:M19" xr:uid="{B868053D-9E3E-4F61-B951-9702171ABDD9}"/>
  <tableColumns count="13">
    <tableColumn id="1" xr3:uid="{2D6771EB-26B6-403F-A605-8F2B40A17F73}" name="Фланец поворотный"/>
    <tableColumn id="2" xr3:uid="{8D925E49-15EE-43CA-BB17-02C5365453F9}" name="Фланец приварной ТНФ"/>
    <tableColumn id="3" xr3:uid="{8F99042C-E97E-46AF-A73B-F445870E9B7A}" name="Фланец приварной"/>
    <tableColumn id="4" xr3:uid="{34DB02F0-640A-4D72-A479-D78289CB6A0B}" name="Круг"/>
    <tableColumn id="5" xr3:uid="{2CA709DC-47B3-49AB-BBBD-3BEC91A6D5C3}" name="Фланец формующий"/>
    <tableColumn id="6" xr3:uid="{322C3CF0-C9FB-4524-BC82-73F56F36EADD}" name="Обечайка"/>
    <tableColumn id="7" xr3:uid="{35F08420-72BF-4FB9-8E63-50DCCC8C0BF5}" name="Фланец компенсатора"/>
    <tableColumn id="8" xr3:uid="{286706D1-C749-44AA-B47B-060020E1A4D3}" name="Фланец поворотный сферический"/>
    <tableColumn id="9" xr3:uid="{3FA1B2E6-40EB-4228-BE42-9D40C8774EC4}" name="Кольцо приварное"/>
    <tableColumn id="10" xr3:uid="{4F0ADA4D-F1AD-4158-9DBE-9DA24037E858}" name="Втулка резьбовая"/>
    <tableColumn id="11" xr3:uid="{74511B81-7624-4B7C-866F-FC489B34251D}" name="Фланец переходной"/>
    <tableColumn id="12" xr3:uid="{53A2A3EA-8858-4B8D-A6DD-7FD7A067DF77}" name="Втулка"/>
    <tableColumn id="13" xr3:uid="{6EA9C8C4-0AA7-4D99-A90E-F281D5BAF072}" name="Штифт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166EA-A7F8-40E5-9E1D-1CA44DE78BA4}" name="Таблица2" displayName="Таблица2" ref="A1:M19" totalsRowShown="0">
  <autoFilter ref="A1:M19" xr:uid="{709166EA-A7F8-40E5-9E1D-1CA44DE78BA4}"/>
  <tableColumns count="13">
    <tableColumn id="1" xr3:uid="{FF81718E-180A-462C-A860-7C7F9152C49B}" name="Фланец приварной ТНФ"/>
    <tableColumn id="2" xr3:uid="{C62AB877-EBD8-4379-BE5A-84DF5277D498}" name="Кольцо приварное"/>
    <tableColumn id="9" xr3:uid="{2A0299A2-42F7-4CA6-9BC6-E682D0391187}" name="Фланец приварной"/>
    <tableColumn id="3" xr3:uid="{6B7FF030-B329-4EA7-8AFD-E2B8A6B9F892}" name="Фланец поворотный"/>
    <tableColumn id="4" xr3:uid="{16C4E3F0-9712-4E87-830F-3BC96CE93612}" name="Фланец компенсатора"/>
    <tableColumn id="5" xr3:uid="{059E0DCA-F0C9-40A8-B7FD-6A11BB4EDCBF}" name="Фланец формующий"/>
    <tableColumn id="6" xr3:uid="{D0AC55F8-9E3B-4D8B-8E9B-531482046AEB}" name="Обечайка"/>
    <tableColumn id="7" xr3:uid="{16240362-3963-4DFA-B0CF-2E5686361573}" name="Круг"/>
    <tableColumn id="8" xr3:uid="{A58C3DFF-85C5-411D-9310-12E7CE1500B1}" name="Фланец переходной"/>
    <tableColumn id="10" xr3:uid="{0884CE28-5117-49FB-9784-B09C3E6068CB}" name="Фланец поворотный сферический"/>
    <tableColumn id="11" xr3:uid="{18D5BD8F-E5E3-42EC-A348-2F023584BF85}" name="Втулка резьбовая"/>
    <tableColumn id="12" xr3:uid="{FA2C81FE-DC01-48EC-ABA7-4D38A7B125A8}" name="Втулка"/>
    <tableColumn id="13" xr3:uid="{1A4BCC9C-24F9-4024-8122-E6653D3680AA}" name="Штифт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5E670-F587-492A-B3B2-C9A881145F5B}" name="Таблица1" displayName="Таблица1" ref="A1:A14" totalsRowShown="0">
  <autoFilter ref="A1:A14" xr:uid="{1285E670-F587-492A-B3B2-C9A881145F5B}"/>
  <sortState xmlns:xlrd2="http://schemas.microsoft.com/office/spreadsheetml/2017/richdata2" ref="A2:A10">
    <sortCondition ref="A2:A10"/>
  </sortState>
  <tableColumns count="1">
    <tableColumn id="1" xr3:uid="{60654018-A894-46B6-9EDD-A5ED8BC108D8}" name="Тип издел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FA6C7-5793-4744-A0F6-19DA2BB6D997}">
  <sheetPr codeName="Лист1"/>
  <dimension ref="A1:X272"/>
  <sheetViews>
    <sheetView tabSelected="1" zoomScale="130" zoomScaleNormal="130" workbookViewId="0">
      <selection activeCell="B3" sqref="B3:C3"/>
    </sheetView>
  </sheetViews>
  <sheetFormatPr defaultRowHeight="15"/>
  <cols>
    <col min="1" max="1" width="38.28515625" customWidth="1"/>
    <col min="2" max="2" width="19.28515625" customWidth="1"/>
    <col min="3" max="3" width="3.85546875" customWidth="1"/>
    <col min="4" max="4" width="26.42578125" customWidth="1"/>
    <col min="5" max="5" width="12.7109375" customWidth="1"/>
    <col min="6" max="6" width="10.85546875" style="16" customWidth="1"/>
    <col min="7" max="7" width="10.5703125" style="16" customWidth="1"/>
    <col min="8" max="8" width="18.42578125" style="16" customWidth="1"/>
    <col min="9" max="9" width="22.85546875" style="16" customWidth="1"/>
    <col min="10" max="24" width="9.140625" style="16"/>
  </cols>
  <sheetData>
    <row r="1" spans="1:24" ht="15.75" customHeight="1">
      <c r="D1" s="7" t="s">
        <v>104</v>
      </c>
      <c r="E1" s="22" t="str">
        <f>'Получение данных для расчета'!B78</f>
        <v>16к20</v>
      </c>
      <c r="F1" s="20"/>
      <c r="G1" s="21"/>
    </row>
    <row r="2" spans="1:24" ht="16.5" customHeight="1">
      <c r="D2" s="18" t="s">
        <v>102</v>
      </c>
      <c r="E2" s="19" t="e">
        <f>(('Получение данных для расчета'!B111+'Получение данных для расчета'!B112+'Получение данных для расчета'!B113+'Получение данных для расчета'!B114+'Получение данных для расчета'!B115+'Получение данных для расчета'!B116+'Получение данных для расчета'!B117+'Получение данных для расчета'!B118+'Получение данных для расчета'!B119+'Получение данных для расчета'!B120+'Получение данных для расчета'!B121++'Получение данных для расчета'!B122+'Получение данных для расчета'!B123+'Получение данных для расчета'!B125)*60)*'Получение данных для расчета'!B91*IFERROR(IF(INDEX(Калькулятор!E5:E22,MATCH("Кольцо закладное ?",Калькулятор!D5:D22,0),1)=1,2,1),1)</f>
        <v>#DIV/0!</v>
      </c>
      <c r="F2" s="23" t="s">
        <v>103</v>
      </c>
    </row>
    <row r="3" spans="1:24">
      <c r="A3" s="5" t="s">
        <v>0</v>
      </c>
      <c r="B3" s="49" t="s">
        <v>157</v>
      </c>
      <c r="C3" s="49"/>
      <c r="D3" s="17" t="s">
        <v>238</v>
      </c>
      <c r="E3" s="17">
        <f>IFERROR('Расчет резьбы'!B12*60,0)</f>
        <v>0</v>
      </c>
    </row>
    <row r="4" spans="1:24" s="1" customFormat="1">
      <c r="A4" s="13" t="s">
        <v>10</v>
      </c>
      <c r="B4" s="13"/>
      <c r="C4" s="13"/>
      <c r="D4" s="13" t="s">
        <v>9</v>
      </c>
      <c r="E4" s="13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>
      <c r="A5" s="14" t="str">
        <f>INDEX(Таблица2[],ROW()-4,MATCH($B$3,'Параметры изделий'!$1:$1,0))</f>
        <v>Внешний диметр (D)</v>
      </c>
      <c r="B5" s="15"/>
      <c r="C5" s="12"/>
      <c r="D5" s="14" t="str">
        <f>INDEX(Таблица4[],ROW()-4,MATCH($B$3,'Параметры заготовки'!$1:$1,0))</f>
        <v>Внешний диаметр (D1)</v>
      </c>
      <c r="E5" s="12"/>
      <c r="G5" s="50"/>
      <c r="H5" s="50"/>
      <c r="I5" s="50"/>
      <c r="J5" s="50"/>
      <c r="K5" s="50"/>
    </row>
    <row r="6" spans="1:24">
      <c r="A6" s="14" t="str">
        <f>INDEX(Таблица2[],ROW()-4,MATCH($B$3,'Параметры изделий'!$1:$1,0))</f>
        <v>Внутренний диаметр (d)</v>
      </c>
      <c r="B6" s="15"/>
      <c r="C6" s="12"/>
      <c r="D6" s="14" t="str">
        <f>INDEX(Таблица4[],ROW()-4,MATCH($B$3,'Параметры заготовки'!$1:$1,0))</f>
        <v>Внутренний диаметр (D2)</v>
      </c>
      <c r="E6" s="12"/>
      <c r="G6" s="50"/>
      <c r="H6" s="50"/>
      <c r="I6" s="50"/>
      <c r="J6" s="50"/>
      <c r="K6" s="50"/>
    </row>
    <row r="7" spans="1:24">
      <c r="A7" s="14" t="str">
        <f>INDEX(Таблица2[],ROW()-4,MATCH($B$3,'Параметры изделий'!$1:$1,0))</f>
        <v>Габарит детали (t)</v>
      </c>
      <c r="B7" s="15"/>
      <c r="C7" s="12"/>
      <c r="D7" s="14" t="str">
        <f>INDEX(Таблица4[],ROW()-4,MATCH($B$3,'Параметры заготовки'!$1:$1,0))</f>
        <v>Толщина листа (S)</v>
      </c>
      <c r="E7" s="12"/>
      <c r="G7" s="50"/>
      <c r="H7" s="50"/>
      <c r="I7" s="50"/>
      <c r="J7" s="50"/>
      <c r="K7" s="50"/>
    </row>
    <row r="8" spans="1:24">
      <c r="A8" s="14" t="str">
        <f>INDEX(Таблица2[],ROW()-4,MATCH($B$3,'Параметры изделий'!$1:$1,0))</f>
        <v>Диаметр проточки (DM)</v>
      </c>
      <c r="B8" s="15"/>
      <c r="C8" s="12"/>
      <c r="D8" s="14">
        <f>INDEX(Таблица4[],ROW()-4,MATCH($B$3,'Параметры заготовки'!$1:$1,0))</f>
        <v>0</v>
      </c>
      <c r="E8" s="12"/>
      <c r="G8" s="50"/>
      <c r="H8" s="50"/>
      <c r="I8" s="50"/>
      <c r="J8" s="50"/>
      <c r="K8" s="50"/>
    </row>
    <row r="9" spans="1:24">
      <c r="A9" s="14" t="str">
        <f>INDEX(Таблица2[],ROW()-4,MATCH($B$3,'Параметры изделий'!$1:$1,0))</f>
        <v>Глубина сфер части (as)</v>
      </c>
      <c r="B9" s="15"/>
      <c r="C9" s="12"/>
      <c r="D9" s="14"/>
      <c r="E9" s="12"/>
      <c r="G9" s="50"/>
      <c r="H9" s="50"/>
      <c r="I9" s="50"/>
      <c r="J9" s="50"/>
      <c r="K9" s="50"/>
    </row>
    <row r="10" spans="1:24">
      <c r="A10" s="14" t="str">
        <f>INDEX(Таблица2[],ROW()-4,MATCH($B$3,'Параметры изделий'!$1:$1,0))</f>
        <v>Радиус сферич. Части (RS)</v>
      </c>
      <c r="B10" s="15"/>
      <c r="C10" s="12"/>
      <c r="D10" s="14">
        <f>INDEX(Таблица4[],ROW()-4,MATCH($B$3,'Параметры заготовки'!$1:$1,0))</f>
        <v>0</v>
      </c>
      <c r="E10" s="12"/>
      <c r="G10" s="50"/>
      <c r="H10" s="50"/>
      <c r="I10" s="50"/>
      <c r="J10" s="50"/>
      <c r="K10" s="50"/>
    </row>
    <row r="11" spans="1:24">
      <c r="A11" s="14" t="str">
        <f>INDEX(Таблица2[],ROW()-4,MATCH($B$3,'Параметры изделий'!$1:$1,0))</f>
        <v>Угол сферич. Части (RA)</v>
      </c>
      <c r="B11" s="15"/>
      <c r="C11" s="12"/>
      <c r="D11" s="14">
        <f>INDEX(Таблица4[],ROW()-4,MATCH($B$3,'Параметры заготовки'!$1:$1,0))</f>
        <v>0</v>
      </c>
      <c r="E11" s="12"/>
      <c r="G11" s="50"/>
      <c r="H11" s="50"/>
      <c r="I11" s="50"/>
      <c r="J11" s="50"/>
      <c r="K11" s="50"/>
    </row>
    <row r="12" spans="1:24">
      <c r="A12" s="14" t="str">
        <f>INDEX(Таблица2[],ROW()-4,MATCH($B$3,'Параметры изделий'!$1:$1,0))</f>
        <v>Угол выхода сфер.части (A1)</v>
      </c>
      <c r="B12" s="15"/>
      <c r="C12" s="12"/>
      <c r="D12" s="14">
        <f>INDEX(Таблица4[],ROW()-4,MATCH($B$3,'Параметры заготовки'!$1:$1,0))</f>
        <v>0</v>
      </c>
      <c r="E12" s="12"/>
      <c r="G12" s="50"/>
      <c r="H12" s="50"/>
      <c r="I12" s="50"/>
      <c r="J12" s="50"/>
      <c r="K12" s="50"/>
    </row>
    <row r="13" spans="1:24">
      <c r="A13" s="14" t="str">
        <f>INDEX(Таблица2[],ROW()-4,MATCH($B$3,'Параметры изделий'!$1:$1,0))</f>
        <v>Размер фаски 1 (ch1)</v>
      </c>
      <c r="B13" s="15"/>
      <c r="C13" s="12"/>
      <c r="D13" s="14">
        <f>INDEX(Таблица4[],ROW()-4,MATCH($B$3,'Параметры заготовки'!$1:$1,0))</f>
        <v>0</v>
      </c>
      <c r="E13" s="12"/>
      <c r="G13" s="50"/>
      <c r="H13" s="50"/>
      <c r="I13" s="50"/>
      <c r="J13" s="50"/>
      <c r="K13" s="50"/>
    </row>
    <row r="14" spans="1:24">
      <c r="A14" s="14" t="str">
        <f>INDEX(Таблица2[],ROW()-4,MATCH($B$3,'Параметры изделий'!$1:$1,0))</f>
        <v>Угол фаски (ch1)</v>
      </c>
      <c r="B14" s="15"/>
      <c r="C14" s="12"/>
      <c r="D14" s="14">
        <f>INDEX(Таблица4[],ROW()-4,MATCH($B$3,'Параметры заготовки'!$1:$1,0))</f>
        <v>0</v>
      </c>
      <c r="E14" s="12"/>
      <c r="G14" s="50"/>
      <c r="H14" s="50"/>
      <c r="I14" s="50"/>
      <c r="J14" s="50"/>
      <c r="K14" s="50"/>
    </row>
    <row r="15" spans="1:24">
      <c r="A15" s="14" t="str">
        <f>INDEX(Таблица2[],ROW()-4,MATCH($B$3,'Параметры изделий'!$1:$1,0))</f>
        <v>Размер фаски 2 (ch2)</v>
      </c>
      <c r="B15" s="15"/>
      <c r="C15" s="12"/>
      <c r="D15" s="14">
        <f>INDEX(Таблица4[],ROW()-4,MATCH($B$3,'Параметры заготовки'!$1:$1,0))</f>
        <v>0</v>
      </c>
      <c r="E15" s="12"/>
      <c r="G15" s="50"/>
      <c r="H15" s="50"/>
      <c r="I15" s="50"/>
      <c r="J15" s="50"/>
      <c r="K15" s="50"/>
    </row>
    <row r="16" spans="1:24">
      <c r="A16" s="14" t="str">
        <f>INDEX(Таблица2[],ROW()-4,MATCH($B$3,'Параметры изделий'!$1:$1,0))</f>
        <v>Угол фаски (ch2)</v>
      </c>
      <c r="B16" s="15"/>
      <c r="C16" s="12"/>
      <c r="D16" s="14">
        <f>INDEX(Таблица4[],ROW()-4,MATCH($B$3,'Параметры заготовки'!$1:$1,0))</f>
        <v>0</v>
      </c>
      <c r="E16" s="12"/>
      <c r="G16" s="50"/>
      <c r="H16" s="50"/>
      <c r="I16" s="50"/>
      <c r="J16" s="50"/>
      <c r="K16" s="50"/>
    </row>
    <row r="17" spans="1:11">
      <c r="A17" s="14" t="str">
        <f>INDEX(Таблица2[],ROW()-4,MATCH($B$3,'Параметры изделий'!$1:$1,0))</f>
        <v>Размер фаски 3 (ch3)</v>
      </c>
      <c r="B17" s="15"/>
      <c r="C17" s="12"/>
      <c r="D17" s="14">
        <f>INDEX(Таблица4[],ROW()-4,MATCH($B$3,'Параметры заготовки'!$1:$1,0))</f>
        <v>0</v>
      </c>
      <c r="E17" s="12"/>
      <c r="G17" s="50"/>
      <c r="H17" s="50"/>
      <c r="I17" s="50"/>
      <c r="J17" s="50"/>
      <c r="K17" s="50"/>
    </row>
    <row r="18" spans="1:11">
      <c r="A18" s="14" t="str">
        <f>INDEX(Таблица2[],ROW()-4,MATCH($B$3,'Параметры изделий'!$1:$1,0))</f>
        <v>Угол фаски (ch3)</v>
      </c>
      <c r="B18" s="15"/>
      <c r="C18" s="12"/>
      <c r="D18" s="14">
        <f>INDEX(Таблица4[],ROW()-4,MATCH($B$3,'Параметры заготовки'!$1:$1,0))</f>
        <v>0</v>
      </c>
      <c r="E18" s="12"/>
      <c r="G18" s="50"/>
      <c r="H18" s="50"/>
      <c r="I18" s="50"/>
      <c r="J18" s="50"/>
      <c r="K18" s="50"/>
    </row>
    <row r="19" spans="1:11">
      <c r="A19" s="14" t="str">
        <f>INDEX(Таблица2[],ROW()-4,MATCH($B$3,'Параметры изделий'!$1:$1,0))</f>
        <v>Размер фаски 4 (ch4)</v>
      </c>
      <c r="B19" s="15"/>
      <c r="C19" s="12"/>
      <c r="D19" s="14">
        <f>INDEX(Таблица4[],ROW()-4,MATCH($B$3,'Параметры заготовки'!$1:$1,0))</f>
        <v>0</v>
      </c>
      <c r="E19" s="12"/>
      <c r="G19" s="50"/>
      <c r="H19" s="50"/>
      <c r="I19" s="50"/>
      <c r="J19" s="50"/>
      <c r="K19" s="50"/>
    </row>
    <row r="20" spans="1:11">
      <c r="A20" s="14" t="str">
        <f>INDEX(Таблица2[],ROW()-4,MATCH($B$3,'Параметры изделий'!$1:$1,0))</f>
        <v>Угол фаски (ch4)</v>
      </c>
      <c r="B20" s="15"/>
      <c r="C20" s="12"/>
      <c r="D20" s="14">
        <f>INDEX(Таблица4[],ROW()-4,MATCH($B$3,'Параметры заготовки'!$1:$1,0))</f>
        <v>0</v>
      </c>
      <c r="E20" s="12"/>
      <c r="G20" s="50"/>
      <c r="H20" s="50"/>
      <c r="I20" s="50"/>
      <c r="J20" s="50"/>
      <c r="K20" s="50"/>
    </row>
    <row r="21" spans="1:11">
      <c r="A21" s="14">
        <f>INDEX(Таблица2[],ROW()-4,MATCH($B$3,'Параметры изделий'!$1:$1,0))</f>
        <v>0</v>
      </c>
      <c r="B21" s="15"/>
      <c r="C21" s="12"/>
      <c r="D21" s="14">
        <f>INDEX(Таблица4[],ROW()-4,MATCH($B$3,'Параметры заготовки'!$1:$1,0))</f>
        <v>0</v>
      </c>
      <c r="E21" s="12"/>
      <c r="G21" s="50"/>
      <c r="H21" s="50"/>
      <c r="I21" s="50"/>
      <c r="J21" s="50"/>
      <c r="K21" s="50"/>
    </row>
    <row r="22" spans="1:11">
      <c r="A22" s="14">
        <f>INDEX(Таблица2[],ROW()-4,MATCH($B$3,'Параметры изделий'!$1:$1,0))</f>
        <v>0</v>
      </c>
      <c r="B22" s="15"/>
      <c r="C22" s="12"/>
      <c r="D22" s="14">
        <f>INDEX(Таблица4[],ROW()-4,MATCH($B$3,'Параметры заготовки'!$1:$1,0))</f>
        <v>0</v>
      </c>
      <c r="E22" s="12"/>
      <c r="G22" s="50"/>
      <c r="H22" s="50"/>
      <c r="I22" s="50"/>
      <c r="J22" s="50"/>
      <c r="K22" s="50"/>
    </row>
    <row r="23" spans="1:11" s="16" customFormat="1"/>
    <row r="24" spans="1:11" s="16" customFormat="1"/>
    <row r="25" spans="1:11" s="16" customFormat="1"/>
    <row r="26" spans="1:11" s="16" customFormat="1"/>
    <row r="27" spans="1:11" s="16" customFormat="1"/>
    <row r="28" spans="1:11" s="16" customFormat="1"/>
    <row r="29" spans="1:11" s="16" customFormat="1"/>
    <row r="30" spans="1:11" s="16" customFormat="1"/>
    <row r="31" spans="1:11" s="16" customFormat="1"/>
    <row r="32" spans="1:11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</sheetData>
  <mergeCells count="2">
    <mergeCell ref="B3:C3"/>
    <mergeCell ref="G5:K2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FF7B3-67F9-465C-80AC-3138A6CB5503}">
          <x14:formula1>
            <xm:f>'Типы изделий'!$A$2:$A$24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11C-39C9-4EE1-9B55-2BA7F37F7028}">
  <sheetPr codeName="Лист3">
    <pageSetUpPr fitToPage="1"/>
  </sheetPr>
  <dimension ref="A1:F14"/>
  <sheetViews>
    <sheetView workbookViewId="0">
      <selection activeCell="B14" sqref="B14"/>
    </sheetView>
  </sheetViews>
  <sheetFormatPr defaultRowHeight="15"/>
  <cols>
    <col min="1" max="1" width="37.5703125" customWidth="1"/>
    <col min="2" max="2" width="22.28515625" customWidth="1"/>
    <col min="3" max="6" width="11.140625" customWidth="1"/>
  </cols>
  <sheetData>
    <row r="1" spans="1:6">
      <c r="A1" t="s">
        <v>12</v>
      </c>
      <c r="B1" t="s">
        <v>179</v>
      </c>
      <c r="C1" t="s">
        <v>11</v>
      </c>
      <c r="D1" t="s">
        <v>26</v>
      </c>
      <c r="E1" t="s">
        <v>137</v>
      </c>
      <c r="F1" t="s">
        <v>138</v>
      </c>
    </row>
    <row r="2" spans="1:6">
      <c r="A2" t="s">
        <v>57</v>
      </c>
      <c r="B2">
        <v>3</v>
      </c>
      <c r="C2">
        <v>3</v>
      </c>
      <c r="D2">
        <v>5</v>
      </c>
      <c r="E2">
        <v>4</v>
      </c>
      <c r="F2">
        <v>6</v>
      </c>
    </row>
    <row r="3" spans="1:6">
      <c r="A3" t="s">
        <v>56</v>
      </c>
      <c r="B3">
        <v>3</v>
      </c>
      <c r="C3">
        <v>5</v>
      </c>
      <c r="D3">
        <v>8</v>
      </c>
      <c r="E3">
        <v>5</v>
      </c>
      <c r="F3">
        <v>6</v>
      </c>
    </row>
    <row r="4" spans="1:6">
      <c r="A4" t="s">
        <v>63</v>
      </c>
      <c r="B4">
        <v>3</v>
      </c>
      <c r="C4">
        <v>5</v>
      </c>
      <c r="D4">
        <v>8</v>
      </c>
      <c r="E4">
        <v>5</v>
      </c>
      <c r="F4">
        <v>6</v>
      </c>
    </row>
    <row r="5" spans="1:6">
      <c r="A5" t="s">
        <v>59</v>
      </c>
      <c r="B5">
        <v>0.25</v>
      </c>
      <c r="C5">
        <v>0.31</v>
      </c>
      <c r="D5">
        <v>0.6</v>
      </c>
      <c r="F5">
        <v>0.5</v>
      </c>
    </row>
    <row r="6" spans="1:6">
      <c r="A6" t="s">
        <v>58</v>
      </c>
      <c r="B6">
        <v>0.15</v>
      </c>
      <c r="C6">
        <v>0.19</v>
      </c>
      <c r="D6">
        <v>0.3</v>
      </c>
      <c r="F6">
        <v>0.5</v>
      </c>
    </row>
    <row r="7" spans="1:6">
      <c r="A7" t="s">
        <v>64</v>
      </c>
      <c r="B7">
        <v>0.15</v>
      </c>
      <c r="C7">
        <v>0.19</v>
      </c>
      <c r="D7">
        <v>0.3</v>
      </c>
      <c r="F7">
        <v>0.5</v>
      </c>
    </row>
    <row r="8" spans="1:6">
      <c r="A8" t="s">
        <v>30</v>
      </c>
      <c r="B8">
        <v>250</v>
      </c>
      <c r="C8">
        <v>610</v>
      </c>
      <c r="D8">
        <v>800</v>
      </c>
      <c r="F8">
        <v>2500</v>
      </c>
    </row>
    <row r="9" spans="1:6">
      <c r="A9" t="s">
        <v>94</v>
      </c>
      <c r="B9">
        <v>15000</v>
      </c>
      <c r="C9">
        <v>151800</v>
      </c>
      <c r="D9">
        <v>143180</v>
      </c>
      <c r="E9">
        <v>15000</v>
      </c>
      <c r="F9">
        <v>15000</v>
      </c>
    </row>
    <row r="10" spans="1:6">
      <c r="A10" t="s">
        <v>95</v>
      </c>
      <c r="B10">
        <v>15000</v>
      </c>
      <c r="C10">
        <v>151800</v>
      </c>
      <c r="D10">
        <v>143180</v>
      </c>
      <c r="E10">
        <v>15000</v>
      </c>
      <c r="F10">
        <v>15000</v>
      </c>
    </row>
    <row r="11" spans="1:6">
      <c r="A11" t="s">
        <v>96</v>
      </c>
      <c r="B11">
        <v>500</v>
      </c>
      <c r="C11">
        <v>500</v>
      </c>
      <c r="D11">
        <v>500</v>
      </c>
      <c r="E11">
        <v>500</v>
      </c>
      <c r="F11">
        <v>500</v>
      </c>
    </row>
    <row r="12" spans="1:6">
      <c r="A12" t="s">
        <v>149</v>
      </c>
      <c r="B12">
        <v>4</v>
      </c>
      <c r="C12">
        <v>4</v>
      </c>
      <c r="D12">
        <v>6</v>
      </c>
    </row>
    <row r="13" spans="1:6">
      <c r="A13" t="s">
        <v>150</v>
      </c>
      <c r="B13">
        <v>0.1</v>
      </c>
      <c r="C13">
        <v>0.1</v>
      </c>
      <c r="D13">
        <v>0.1</v>
      </c>
    </row>
    <row r="14" spans="1:6">
      <c r="A14" t="s">
        <v>221</v>
      </c>
      <c r="B14">
        <v>0.2</v>
      </c>
      <c r="C14">
        <v>0.1</v>
      </c>
      <c r="D14">
        <v>0.1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34EA-5EA9-4830-BD28-17815A1C1A97}">
  <sheetPr>
    <pageSetUpPr fitToPage="1"/>
  </sheetPr>
  <dimension ref="A1:G41"/>
  <sheetViews>
    <sheetView workbookViewId="0">
      <selection activeCell="A11" sqref="A11"/>
    </sheetView>
  </sheetViews>
  <sheetFormatPr defaultRowHeight="15"/>
  <cols>
    <col min="1" max="1" width="23.42578125" customWidth="1"/>
    <col min="2" max="4" width="11.85546875" customWidth="1"/>
    <col min="5" max="5" width="12.85546875" customWidth="1"/>
    <col min="6" max="6" width="12.42578125" customWidth="1"/>
    <col min="7" max="7" width="18.140625" customWidth="1"/>
  </cols>
  <sheetData>
    <row r="1" spans="1:7">
      <c r="A1" s="24" t="s">
        <v>111</v>
      </c>
      <c r="B1" s="25" t="s">
        <v>178</v>
      </c>
      <c r="C1" s="25" t="s">
        <v>11</v>
      </c>
      <c r="D1" s="25" t="s">
        <v>26</v>
      </c>
      <c r="E1" s="25" t="s">
        <v>137</v>
      </c>
      <c r="F1" s="26" t="s">
        <v>138</v>
      </c>
      <c r="G1" s="25" t="s">
        <v>179</v>
      </c>
    </row>
    <row r="2" spans="1:7">
      <c r="A2" s="27">
        <v>50</v>
      </c>
      <c r="B2" s="32">
        <v>6130</v>
      </c>
      <c r="C2" s="33"/>
      <c r="D2" s="33"/>
      <c r="E2" s="32"/>
      <c r="F2" s="34"/>
      <c r="G2" s="32">
        <v>630</v>
      </c>
    </row>
    <row r="3" spans="1:7">
      <c r="A3" s="27">
        <v>100</v>
      </c>
      <c r="B3" s="32">
        <v>6230</v>
      </c>
      <c r="C3" s="32">
        <v>190</v>
      </c>
      <c r="D3" s="32"/>
      <c r="E3" s="32"/>
      <c r="F3" s="34"/>
      <c r="G3" s="32">
        <v>630</v>
      </c>
    </row>
    <row r="4" spans="1:7">
      <c r="A4" s="27">
        <v>150</v>
      </c>
      <c r="B4" s="32">
        <v>3315</v>
      </c>
      <c r="C4" s="32">
        <v>190</v>
      </c>
      <c r="D4" s="32"/>
      <c r="E4" s="32"/>
      <c r="F4" s="34"/>
      <c r="G4" s="32">
        <v>315</v>
      </c>
    </row>
    <row r="5" spans="1:7">
      <c r="A5" s="27">
        <v>200</v>
      </c>
      <c r="B5" s="32">
        <v>1460</v>
      </c>
      <c r="C5" s="32">
        <v>190</v>
      </c>
      <c r="D5" s="32"/>
      <c r="E5" s="32"/>
      <c r="F5" s="34"/>
      <c r="G5" s="32">
        <v>160</v>
      </c>
    </row>
    <row r="6" spans="1:7">
      <c r="A6" s="27">
        <v>250</v>
      </c>
      <c r="B6" s="32">
        <v>1560</v>
      </c>
      <c r="C6" s="32">
        <v>190</v>
      </c>
      <c r="D6" s="32">
        <v>107</v>
      </c>
      <c r="E6" s="32"/>
      <c r="F6" s="34"/>
      <c r="G6" s="32">
        <v>160</v>
      </c>
    </row>
    <row r="7" spans="1:7">
      <c r="A7" s="27">
        <v>300</v>
      </c>
      <c r="B7" s="32">
        <v>1625</v>
      </c>
      <c r="C7" s="32">
        <v>190</v>
      </c>
      <c r="D7" s="32">
        <v>107</v>
      </c>
      <c r="E7" s="32"/>
      <c r="F7" s="34"/>
      <c r="G7" s="32">
        <v>125</v>
      </c>
    </row>
    <row r="8" spans="1:7">
      <c r="A8" s="27">
        <v>350</v>
      </c>
      <c r="B8" s="32"/>
      <c r="C8" s="32">
        <v>140</v>
      </c>
      <c r="D8" s="32">
        <v>90</v>
      </c>
      <c r="E8" s="32"/>
      <c r="F8" s="34"/>
      <c r="G8" s="32"/>
    </row>
    <row r="9" spans="1:7">
      <c r="A9" s="27">
        <v>400</v>
      </c>
      <c r="B9" s="32"/>
      <c r="C9" s="32">
        <v>106</v>
      </c>
      <c r="D9" s="32">
        <v>90</v>
      </c>
      <c r="E9" s="32"/>
      <c r="F9" s="34"/>
      <c r="G9" s="32"/>
    </row>
    <row r="10" spans="1:7">
      <c r="A10" s="27">
        <v>450</v>
      </c>
      <c r="B10" s="32"/>
      <c r="C10" s="32">
        <v>106</v>
      </c>
      <c r="D10" s="32">
        <v>90</v>
      </c>
      <c r="E10" s="32"/>
      <c r="F10" s="34"/>
      <c r="G10" s="32"/>
    </row>
    <row r="11" spans="1:7">
      <c r="A11" s="27">
        <v>500</v>
      </c>
      <c r="B11" s="32"/>
      <c r="C11" s="32">
        <v>106</v>
      </c>
      <c r="D11" s="32">
        <v>76</v>
      </c>
      <c r="E11" s="32">
        <v>50</v>
      </c>
      <c r="F11" s="34">
        <v>54</v>
      </c>
      <c r="G11" s="32"/>
    </row>
    <row r="12" spans="1:7">
      <c r="A12" s="27">
        <v>550</v>
      </c>
      <c r="B12" s="32"/>
      <c r="C12" s="32">
        <v>80</v>
      </c>
      <c r="D12" s="32">
        <v>76</v>
      </c>
      <c r="E12" s="32">
        <v>50</v>
      </c>
      <c r="F12" s="34">
        <v>54</v>
      </c>
      <c r="G12" s="32"/>
    </row>
    <row r="13" spans="1:7">
      <c r="A13" s="27">
        <v>600</v>
      </c>
      <c r="B13" s="32"/>
      <c r="C13" s="32">
        <v>80</v>
      </c>
      <c r="D13" s="32">
        <v>76</v>
      </c>
      <c r="E13" s="32">
        <v>50</v>
      </c>
      <c r="F13" s="34">
        <v>54</v>
      </c>
      <c r="G13" s="32"/>
    </row>
    <row r="14" spans="1:7">
      <c r="A14" s="27">
        <v>650</v>
      </c>
      <c r="B14" s="32"/>
      <c r="C14" s="32">
        <v>80</v>
      </c>
      <c r="D14" s="32">
        <v>76</v>
      </c>
      <c r="E14" s="32">
        <v>50</v>
      </c>
      <c r="F14" s="34">
        <v>54</v>
      </c>
      <c r="G14" s="32"/>
    </row>
    <row r="15" spans="1:7">
      <c r="A15" s="27">
        <v>700</v>
      </c>
      <c r="B15" s="32"/>
      <c r="C15" s="32"/>
      <c r="D15" s="32">
        <v>63</v>
      </c>
      <c r="E15" s="32">
        <v>45</v>
      </c>
      <c r="F15" s="34">
        <v>54</v>
      </c>
      <c r="G15" s="32"/>
    </row>
    <row r="16" spans="1:7">
      <c r="A16" s="27">
        <v>750</v>
      </c>
      <c r="B16" s="32"/>
      <c r="C16" s="32"/>
      <c r="D16" s="32">
        <v>55</v>
      </c>
      <c r="E16" s="32">
        <v>45</v>
      </c>
      <c r="F16" s="34">
        <v>54</v>
      </c>
      <c r="G16" s="32"/>
    </row>
    <row r="17" spans="1:7">
      <c r="A17" s="27">
        <v>800</v>
      </c>
      <c r="B17" s="32"/>
      <c r="C17" s="32"/>
      <c r="D17" s="32">
        <v>45</v>
      </c>
      <c r="E17" s="32">
        <v>45</v>
      </c>
      <c r="F17" s="34">
        <v>54</v>
      </c>
      <c r="G17" s="32"/>
    </row>
    <row r="18" spans="1:7">
      <c r="A18" s="27">
        <v>850</v>
      </c>
      <c r="B18" s="32"/>
      <c r="C18" s="32"/>
      <c r="D18" s="32">
        <v>38</v>
      </c>
      <c r="E18" s="32">
        <v>45</v>
      </c>
      <c r="F18" s="34">
        <v>54</v>
      </c>
      <c r="G18" s="32"/>
    </row>
    <row r="19" spans="1:7">
      <c r="A19" s="27">
        <v>900</v>
      </c>
      <c r="B19" s="32"/>
      <c r="C19" s="32"/>
      <c r="D19" s="32">
        <v>38</v>
      </c>
      <c r="E19" s="32">
        <v>45</v>
      </c>
      <c r="F19" s="34">
        <v>43</v>
      </c>
      <c r="G19" s="32"/>
    </row>
    <row r="20" spans="1:7">
      <c r="A20" s="27">
        <v>950</v>
      </c>
      <c r="B20" s="32"/>
      <c r="C20" s="32"/>
      <c r="D20" s="32">
        <v>38</v>
      </c>
      <c r="E20" s="32">
        <v>45</v>
      </c>
      <c r="F20" s="34">
        <v>43</v>
      </c>
      <c r="G20" s="32"/>
    </row>
    <row r="21" spans="1:7">
      <c r="A21" s="27">
        <v>1000</v>
      </c>
      <c r="B21" s="32"/>
      <c r="C21" s="32"/>
      <c r="D21" s="32">
        <v>38</v>
      </c>
      <c r="E21" s="32">
        <v>45</v>
      </c>
      <c r="F21" s="34">
        <v>43</v>
      </c>
      <c r="G21" s="32"/>
    </row>
    <row r="22" spans="1:7">
      <c r="A22" s="27">
        <v>1050</v>
      </c>
      <c r="B22" s="32"/>
      <c r="C22" s="32"/>
      <c r="D22" s="32"/>
      <c r="E22" s="32">
        <v>45</v>
      </c>
      <c r="F22" s="34">
        <v>43</v>
      </c>
      <c r="G22" s="32"/>
    </row>
    <row r="23" spans="1:7">
      <c r="A23" s="27">
        <v>1100</v>
      </c>
      <c r="B23" s="32"/>
      <c r="C23" s="32"/>
      <c r="D23" s="32"/>
      <c r="E23" s="32">
        <v>45</v>
      </c>
      <c r="F23" s="34">
        <v>43</v>
      </c>
      <c r="G23" s="32"/>
    </row>
    <row r="24" spans="1:7">
      <c r="A24" s="27">
        <v>1150</v>
      </c>
      <c r="B24" s="32"/>
      <c r="C24" s="32"/>
      <c r="D24" s="32"/>
      <c r="E24" s="32">
        <v>45</v>
      </c>
      <c r="F24" s="34">
        <v>43</v>
      </c>
      <c r="G24" s="32"/>
    </row>
    <row r="25" spans="1:7">
      <c r="A25" s="27">
        <v>1200</v>
      </c>
      <c r="B25" s="32"/>
      <c r="C25" s="32"/>
      <c r="D25" s="32"/>
      <c r="E25" s="32">
        <v>45</v>
      </c>
      <c r="F25" s="34">
        <v>43</v>
      </c>
      <c r="G25" s="32"/>
    </row>
    <row r="26" spans="1:7">
      <c r="A26" s="27">
        <v>1250</v>
      </c>
      <c r="B26" s="32"/>
      <c r="C26" s="32"/>
      <c r="D26" s="32"/>
      <c r="E26" s="32">
        <v>45</v>
      </c>
      <c r="F26" s="34">
        <v>36</v>
      </c>
      <c r="G26" s="32"/>
    </row>
    <row r="27" spans="1:7">
      <c r="A27" s="27">
        <v>1300</v>
      </c>
      <c r="B27" s="32"/>
      <c r="C27" s="32"/>
      <c r="D27" s="32"/>
      <c r="E27" s="32">
        <v>45</v>
      </c>
      <c r="F27" s="34">
        <v>36</v>
      </c>
      <c r="G27" s="32"/>
    </row>
    <row r="28" spans="1:7">
      <c r="A28" s="27">
        <v>1350</v>
      </c>
      <c r="B28" s="32"/>
      <c r="C28" s="32"/>
      <c r="D28" s="32"/>
      <c r="E28" s="32">
        <v>45</v>
      </c>
      <c r="F28" s="34">
        <v>36</v>
      </c>
      <c r="G28" s="32"/>
    </row>
    <row r="29" spans="1:7">
      <c r="A29" s="28">
        <v>1400</v>
      </c>
      <c r="B29" s="35"/>
      <c r="C29" s="35"/>
      <c r="D29" s="35"/>
      <c r="E29" s="35">
        <v>45</v>
      </c>
      <c r="F29" s="36">
        <v>36</v>
      </c>
      <c r="G29" s="32"/>
    </row>
    <row r="30" spans="1:7">
      <c r="A30" s="28">
        <v>1450</v>
      </c>
      <c r="B30" s="35"/>
      <c r="C30" s="35"/>
      <c r="D30" s="35"/>
      <c r="E30" s="35">
        <v>45</v>
      </c>
      <c r="F30" s="36">
        <v>36</v>
      </c>
      <c r="G30" s="32"/>
    </row>
    <row r="31" spans="1:7">
      <c r="A31" s="28">
        <v>1500</v>
      </c>
      <c r="B31" s="35"/>
      <c r="C31" s="35"/>
      <c r="D31" s="35"/>
      <c r="E31" s="35">
        <v>45</v>
      </c>
      <c r="F31" s="36">
        <v>36</v>
      </c>
      <c r="G31" s="32"/>
    </row>
    <row r="32" spans="1:7">
      <c r="A32" s="28">
        <v>1550</v>
      </c>
      <c r="B32" s="35"/>
      <c r="C32" s="35"/>
      <c r="D32" s="35"/>
      <c r="E32" s="35">
        <v>45</v>
      </c>
      <c r="F32" s="36">
        <v>36</v>
      </c>
      <c r="G32" s="32"/>
    </row>
    <row r="33" spans="1:7">
      <c r="A33" s="28">
        <v>1600</v>
      </c>
      <c r="B33" s="35"/>
      <c r="C33" s="35"/>
      <c r="D33" s="35"/>
      <c r="E33" s="35">
        <v>45</v>
      </c>
      <c r="F33" s="36">
        <v>36</v>
      </c>
      <c r="G33" s="32"/>
    </row>
    <row r="34" spans="1:7">
      <c r="A34" s="28">
        <v>1650</v>
      </c>
      <c r="B34" s="35"/>
      <c r="C34" s="35"/>
      <c r="D34" s="35"/>
      <c r="E34" s="35"/>
      <c r="F34" s="36">
        <v>36</v>
      </c>
      <c r="G34" s="32"/>
    </row>
    <row r="35" spans="1:7">
      <c r="A35" s="28">
        <v>1700</v>
      </c>
      <c r="B35" s="35"/>
      <c r="C35" s="35"/>
      <c r="D35" s="35"/>
      <c r="E35" s="35"/>
      <c r="F35" s="36">
        <v>24</v>
      </c>
      <c r="G35" s="32"/>
    </row>
    <row r="36" spans="1:7">
      <c r="A36" s="28">
        <v>1750</v>
      </c>
      <c r="B36" s="35"/>
      <c r="C36" s="35"/>
      <c r="D36" s="35"/>
      <c r="E36" s="35"/>
      <c r="F36" s="36">
        <v>24</v>
      </c>
      <c r="G36" s="32"/>
    </row>
    <row r="37" spans="1:7">
      <c r="A37" s="28">
        <v>1800</v>
      </c>
      <c r="B37" s="35"/>
      <c r="C37" s="35"/>
      <c r="D37" s="35"/>
      <c r="E37" s="35"/>
      <c r="F37" s="36">
        <v>24</v>
      </c>
      <c r="G37" s="32"/>
    </row>
    <row r="38" spans="1:7">
      <c r="A38" s="28">
        <v>1850</v>
      </c>
      <c r="B38" s="35"/>
      <c r="C38" s="35"/>
      <c r="D38" s="35"/>
      <c r="E38" s="35"/>
      <c r="F38" s="36">
        <v>24</v>
      </c>
      <c r="G38" s="32"/>
    </row>
    <row r="39" spans="1:7">
      <c r="A39" s="28">
        <v>1900</v>
      </c>
      <c r="B39" s="35"/>
      <c r="C39" s="35"/>
      <c r="D39" s="35"/>
      <c r="E39" s="35"/>
      <c r="F39" s="36">
        <v>24</v>
      </c>
      <c r="G39" s="32"/>
    </row>
    <row r="40" spans="1:7">
      <c r="A40" s="28">
        <v>1950</v>
      </c>
      <c r="B40" s="35"/>
      <c r="C40" s="35"/>
      <c r="D40" s="35"/>
      <c r="E40" s="35"/>
      <c r="F40" s="36">
        <v>24</v>
      </c>
      <c r="G40" s="32"/>
    </row>
    <row r="41" spans="1:7">
      <c r="A41" s="28">
        <v>2000</v>
      </c>
      <c r="B41" s="35"/>
      <c r="C41" s="35"/>
      <c r="D41" s="35"/>
      <c r="E41" s="35"/>
      <c r="F41" s="36">
        <v>24</v>
      </c>
      <c r="G41" s="35"/>
    </row>
  </sheetData>
  <pageMargins left="0.7" right="0.7" top="0.75" bottom="0.75" header="0.3" footer="0.3"/>
  <pageSetup paperSize="9" scale="85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A814-A8BD-4F9D-B08A-B203FCE1FC8C}">
  <sheetPr codeName="Лист5"/>
  <dimension ref="A1:N130"/>
  <sheetViews>
    <sheetView topLeftCell="A74" workbookViewId="0">
      <selection activeCell="B91" sqref="B91"/>
    </sheetView>
  </sheetViews>
  <sheetFormatPr defaultRowHeight="15"/>
  <cols>
    <col min="1" max="1" width="61.85546875" customWidth="1"/>
    <col min="2" max="2" width="15.85546875" customWidth="1"/>
    <col min="3" max="3" width="22.28515625" customWidth="1"/>
    <col min="5" max="5" width="49" customWidth="1"/>
    <col min="6" max="6" width="27" customWidth="1"/>
    <col min="14" max="14" width="64" customWidth="1"/>
  </cols>
  <sheetData>
    <row r="1" spans="1:14">
      <c r="A1" s="3" t="s">
        <v>32</v>
      </c>
      <c r="B1" s="3">
        <f>INDEX(Калькулятор!E5:E22,MATCH("Внешний диаметр (D1)",Калькулятор!D5:D22,0),1)-INDEX(Калькулятор!B5:B22,MATCH("Внешний диметр (D)",Калькулятор!A5:A22,0),1)</f>
        <v>0</v>
      </c>
      <c r="C1" s="3" t="s">
        <v>51</v>
      </c>
      <c r="E1" s="5" t="s">
        <v>162</v>
      </c>
      <c r="F1" s="4">
        <f>(INDEX(Калькулятор!B5:B22,MATCH("Радиус сферич. Части (RS)",Калькулятор!A5:A22,0),1)*2)*SIN((INDEX(Калькулятор!B5:B22,MATCH("Угол сферич. Части (RA)",Калькулятор!A5:A22,0),1)/2)*(PI()/180))</f>
        <v>0</v>
      </c>
      <c r="N1" s="53"/>
    </row>
    <row r="2" spans="1:14">
      <c r="A2" s="3" t="s">
        <v>33</v>
      </c>
      <c r="B2" s="3">
        <f>INDEX(Калькулятор!E5:E22,MATCH("Толщина листа (S)",Калькулятор!D5:D22,0),1)-INDEX(Калькулятор!B5:B22,MATCH("Габарит детали (t)",Калькулятор!A5:A22,0),1)</f>
        <v>0</v>
      </c>
      <c r="C2" s="3" t="s">
        <v>51</v>
      </c>
      <c r="E2" s="5" t="s">
        <v>163</v>
      </c>
      <c r="F2" s="5">
        <f>SQRT(F1^2-INDEX(Калькулятор!B5:B22,MATCH("Глубина сфер части (as)",Калькулятор!A5:A22,0),1)^2)</f>
        <v>0</v>
      </c>
      <c r="N2" s="53"/>
    </row>
    <row r="3" spans="1:14">
      <c r="A3" s="3" t="s">
        <v>34</v>
      </c>
      <c r="B3" s="3">
        <f>INDEX(Калькулятор!E5:E22,MATCH("Внешний диаметр (D1)",Калькулятор!D5:D22,0),1)-IFERROR(INDEX(Калькулятор!E5:E22,MATCH("Внутренний диаметр (D2)",Калькулятор!D5:D22,0),1),0)</f>
        <v>0</v>
      </c>
      <c r="C3" s="3" t="s">
        <v>51</v>
      </c>
      <c r="E3" s="5" t="s">
        <v>164</v>
      </c>
      <c r="F3" s="4">
        <f>(INDEX(Калькулятор!B5:B22,MATCH("Радиус сферич. Части (RS)",Калькулятор!A5:A22,0),1)^2*((PI()*INDEX(Калькулятор!B5:B22,MATCH("Угол сферич. Части (RA)",Калькулятор!A5:A22,0),1)/90)-SIN(2*INDEX(Калькулятор!B5:B22,MATCH("Угол сферич. Части (RA)",Калькулятор!A5:A22,0),1)*(PI()/180))))/4</f>
        <v>0</v>
      </c>
      <c r="N3" s="53"/>
    </row>
    <row r="4" spans="1:14">
      <c r="A4" s="3" t="s">
        <v>35</v>
      </c>
      <c r="B4" s="3">
        <f>(INDEX(Калькулятор!B5:B22,MATCH("Внутренний диаметр (d)",Калькулятор!A5:A22,0),1)-INDEX(Калькулятор!E5:E22,MATCH("Внутренний диаметр (D2)",Калькулятор!D5:D22,0),1))/2</f>
        <v>0</v>
      </c>
      <c r="C4" s="3" t="s">
        <v>51</v>
      </c>
      <c r="E4" s="5" t="s">
        <v>165</v>
      </c>
      <c r="F4" s="4">
        <f>INDEX(Калькулятор!B5:B22,MATCH("Глубина сфер части (as)",Калькулятор!A5:A22,0),1)*(B5-F2)</f>
        <v>0</v>
      </c>
      <c r="N4" s="53"/>
    </row>
    <row r="5" spans="1:14">
      <c r="A5" s="3" t="s">
        <v>36</v>
      </c>
      <c r="B5" s="3">
        <f>(INDEX(Калькулятор!B5:B22,MATCH("Диаметр проточки (DM)",Калькулятор!A5:A22,0),1)-INDEX(Калькулятор!B5:B22,MATCH("Внутренний диаметр (d)",Калькулятор!A5:A22,0),1))/2</f>
        <v>0</v>
      </c>
      <c r="C5" s="3" t="s">
        <v>51</v>
      </c>
      <c r="E5" s="5" t="s">
        <v>166</v>
      </c>
      <c r="F5" s="5">
        <f>((B5-F2)*((B5-F2)*TAN(INDEX(Калькулятор!B5:B22,MATCH("Угол выхода сфер.части (A1)",Калькулятор!A5:A22,0),1)*(PI()/180))))/2</f>
        <v>0</v>
      </c>
      <c r="N5" s="53"/>
    </row>
    <row r="6" spans="1:14">
      <c r="A6" s="3" t="s">
        <v>139</v>
      </c>
      <c r="B6" s="3">
        <f>IFERROR(INDEX(Калькулятор!B5:B22,MATCH("Глубина проточки (a)",Калькулятор!A5:A22,0),1),0)+IFERROR(INDEX(Калькулятор!B5:B22,MATCH("Глубина упорно бурта (Е)",Калькулятор!A5:A22,0),1),0)</f>
        <v>0</v>
      </c>
      <c r="C6" s="3" t="s">
        <v>51</v>
      </c>
      <c r="E6" s="5" t="s">
        <v>167</v>
      </c>
      <c r="F6" s="5">
        <f>F3+F4+F5</f>
        <v>0</v>
      </c>
      <c r="N6" s="53"/>
    </row>
    <row r="7" spans="1:14">
      <c r="A7" s="3" t="s">
        <v>18</v>
      </c>
      <c r="B7" s="3">
        <f>IFERROR(INDEX(Калькулятор!B5:B22,MATCH("Размер фаски 1 (ch1)",Калькулятор!A5:A22,0),1),0)</f>
        <v>0</v>
      </c>
      <c r="C7" s="3" t="s">
        <v>51</v>
      </c>
      <c r="E7" s="5" t="s">
        <v>168</v>
      </c>
      <c r="F7" s="5">
        <f>ROUNDUP((HLOOKUP('Получение данных для расчета'!B78,Таблица5[#All],MATCH("Сием продольное точение",'Типы станков'!A1:A28,0),0 )),0)</f>
        <v>3</v>
      </c>
      <c r="N7" s="53"/>
    </row>
    <row r="8" spans="1:14">
      <c r="A8" s="3" t="s">
        <v>37</v>
      </c>
      <c r="B8" s="3">
        <f>INDEX(Калькулятор!B5:B22,MATCH("Угол фаски (ch1)",Калькулятор!A5:A22,0),1)</f>
        <v>0</v>
      </c>
      <c r="C8" s="3" t="s">
        <v>51</v>
      </c>
      <c r="E8" s="5" t="s">
        <v>169</v>
      </c>
      <c r="F8" s="5">
        <f>F6/F7</f>
        <v>0</v>
      </c>
      <c r="N8" s="53"/>
    </row>
    <row r="9" spans="1:14">
      <c r="A9" s="3" t="s">
        <v>19</v>
      </c>
      <c r="B9" s="3">
        <f>IFERROR(INDEX(Калькулятор!B5:B22,MATCH("Размер фаски 2 (ch2)",Калькулятор!A5:A22,0),1),0)</f>
        <v>0</v>
      </c>
      <c r="C9" s="3" t="s">
        <v>51</v>
      </c>
      <c r="E9" s="5" t="s">
        <v>171</v>
      </c>
      <c r="F9" s="5">
        <f>(2*PI()*INDEX(Калькулятор!B5:B22,MATCH("Угол выхода сфер.части (A1)",Калькулятор!A5:A22,0),1)*INDEX(Калькулятор!B5:B22,MATCH("Угол сферич. Части (RA)",Калькулятор!A5:A22,0),1))/360</f>
        <v>0</v>
      </c>
      <c r="N9" s="53"/>
    </row>
    <row r="10" spans="1:14">
      <c r="A10" s="3" t="s">
        <v>38</v>
      </c>
      <c r="B10" s="3">
        <f>IFERROR(INDEX(Калькулятор!B5:B22,MATCH("Угол фаски (ch2)",Калькулятор!A5:A22,0),1),0)</f>
        <v>0</v>
      </c>
      <c r="C10" s="3" t="s">
        <v>51</v>
      </c>
      <c r="E10" s="5" t="s">
        <v>172</v>
      </c>
      <c r="F10" s="5">
        <f>(B5-F2)/(COS(INDEX(Калькулятор!B5:B22,MATCH("Угол выхода сфер.части (A1)",Калькулятор!A5:A22,0),1)*(PI()/180)))</f>
        <v>0</v>
      </c>
      <c r="N10" s="53"/>
    </row>
    <row r="11" spans="1:14">
      <c r="A11" s="3" t="s">
        <v>20</v>
      </c>
      <c r="B11" s="3">
        <f>INDEX(Калькулятор!$B$5:$B$22,MATCH("Размер фаски 3 (ch3)",Калькулятор!$A$5:$A$22,0),1)</f>
        <v>0</v>
      </c>
      <c r="C11" s="3" t="s">
        <v>51</v>
      </c>
      <c r="E11" s="3" t="s">
        <v>194</v>
      </c>
      <c r="F11" s="5">
        <f>(INDEX(Калькулятор!B5:B22,MATCH("Внешний диметр (D)",Калькулятор!A5:A22,0),1)-INDEX(Калькулятор!B5:B22,MATCH("Диаметр проточки (DM)",Калькулятор!A5:A22,0),1))/2</f>
        <v>0</v>
      </c>
      <c r="N11" s="53"/>
    </row>
    <row r="12" spans="1:14">
      <c r="A12" s="3" t="s">
        <v>39</v>
      </c>
      <c r="B12" s="3">
        <f>INDEX(Калькулятор!B5:B22,MATCH("Угол фаски (ch3)",Калькулятор!A5:A22,0),1)</f>
        <v>0</v>
      </c>
      <c r="C12" s="3" t="s">
        <v>51</v>
      </c>
      <c r="E12" s="5" t="s">
        <v>196</v>
      </c>
      <c r="F12" s="5">
        <f>IF(Калькулятор!B3="Фланец переходной",INDEX(Калькулятор!B5:B22,MATCH("Размер фаски 5 (ch5)",Калькулятор!A5:A22,0),1),0)</f>
        <v>0</v>
      </c>
      <c r="N12" s="53"/>
    </row>
    <row r="13" spans="1:14">
      <c r="A13" s="3" t="s">
        <v>70</v>
      </c>
      <c r="B13" s="3">
        <f>IFERROR(INDEX(Калькулятор!$B$5:$B$22,MATCH("Размер фаски 4 (ch4)",Калькулятор!$A$5:$A$22,0),1),0)</f>
        <v>0</v>
      </c>
      <c r="C13" s="3"/>
      <c r="E13" s="5" t="s">
        <v>192</v>
      </c>
      <c r="F13" s="5">
        <f>IFERROR(INDEX(Калькулятор!$B$5:$B$22,MATCH("Глубина торцевых канав (P)",Калькулятор!$A$5:$A$22,0),1),0)</f>
        <v>0</v>
      </c>
      <c r="N13" s="53"/>
    </row>
    <row r="14" spans="1:14">
      <c r="A14" s="3" t="s">
        <v>71</v>
      </c>
      <c r="B14" s="3"/>
      <c r="C14" s="3"/>
      <c r="E14" s="47" t="s">
        <v>193</v>
      </c>
      <c r="F14" s="5">
        <f>IFERROR(INDEX(Калькулятор!$B$5:$B$22,MATCH("Количество торцевых канав (n)",Калькулятор!$A$5:$A$22,0),1),0)</f>
        <v>0</v>
      </c>
      <c r="N14" s="53"/>
    </row>
    <row r="15" spans="1:14">
      <c r="A15" s="3" t="s">
        <v>72</v>
      </c>
      <c r="B15" s="3">
        <f>IFERROR(INDEX(Калькулятор!$B$5:$B$22,MATCH("Размер фаски 5 (ch5)",Калькулятор!$A$5:$A$22,0),1),0)</f>
        <v>0</v>
      </c>
      <c r="C15" s="3"/>
      <c r="E15" s="47" t="s">
        <v>191</v>
      </c>
      <c r="F15" s="5">
        <f>IFERROR(INDEX(Калькулятор!$B$5:$B$22,MATCH("Диаметр торцевой канавы (Dk max)",Калькулятор!$A$5:$A$22,0),1),0)</f>
        <v>0</v>
      </c>
      <c r="N15" s="53"/>
    </row>
    <row r="16" spans="1:14">
      <c r="A16" s="3" t="s">
        <v>73</v>
      </c>
      <c r="B16" s="3"/>
      <c r="C16" s="3"/>
      <c r="E16" s="30" t="s">
        <v>202</v>
      </c>
      <c r="F16" s="5">
        <f t="array" ref="F16">INDEX(Таблица3[Средний диаметр],MATCH(MIN(ABS(Таблица3[Средний диаметр]-F15)),ABS(Таблица3[Средний диаметр]-F15),0),1)</f>
        <v>50</v>
      </c>
      <c r="N16" s="53"/>
    </row>
    <row r="17" spans="1:14">
      <c r="A17" s="3" t="s">
        <v>74</v>
      </c>
      <c r="B17" s="3">
        <f>IFERROR(INDEX(Калькулятор!$B$5:$B$22,MATCH("Размер фаски 6 (ch6)",Калькулятор!$A$5:$A$22,0),1),0)</f>
        <v>0</v>
      </c>
      <c r="C17" s="3"/>
      <c r="E17" s="5" t="s">
        <v>203</v>
      </c>
      <c r="F17" s="5">
        <f>HLOOKUP(B78,Таблица5[#All],MATCH("Подача поперечная",'Типы станков'!A1:A18,0),0 )*HLOOKUP(B78,Таблица3[#All],MATCH(F16,Лист1!A1:A49,0),0 )</f>
        <v>157.5</v>
      </c>
      <c r="N17" s="53"/>
    </row>
    <row r="18" spans="1:14">
      <c r="A18" s="3" t="s">
        <v>75</v>
      </c>
      <c r="B18" s="3"/>
      <c r="C18" s="3"/>
      <c r="E18" s="5" t="s">
        <v>213</v>
      </c>
      <c r="F18" s="5">
        <f>INDEX(Калькулятор!B5:B22,MATCH("Габарит детали (t)",Калькулятор!A5:A22,0),1)</f>
        <v>0</v>
      </c>
      <c r="N18" s="53"/>
    </row>
    <row r="19" spans="1:14">
      <c r="A19" s="3" t="s">
        <v>76</v>
      </c>
      <c r="B19" s="3">
        <f>IFERROR(INDEX(Калькулятор!$B$5:$B$22,MATCH("Размер фаски 7 (ch7)",Калькулятор!$A$5:$A$22,0),1),0)</f>
        <v>0</v>
      </c>
      <c r="C19" s="3"/>
      <c r="E19" s="5" t="s">
        <v>214</v>
      </c>
      <c r="F19" s="5" t="e">
        <f>INDEX(Калькулятор!B6:B23,MATCH("Глубина проточки (a)",Калькулятор!A6:A23,0),1)</f>
        <v>#N/A</v>
      </c>
      <c r="N19" s="53"/>
    </row>
    <row r="20" spans="1:14">
      <c r="A20" s="3" t="s">
        <v>77</v>
      </c>
      <c r="B20" s="3"/>
      <c r="C20" s="3"/>
      <c r="E20" s="5" t="s">
        <v>217</v>
      </c>
      <c r="F20" s="5">
        <f>(IFERROR(INDEX(Калькулятор!B5:B22,MATCH("Внешний диметр (D)",Калькулятор!A5:A22,0),1),0)-IFERROR(INDEX(Калькулятор!B5:B22,MATCH("Внешний диметр 2 (Dc)",Калькулятор!A5:A22,0),1),0))/2</f>
        <v>0</v>
      </c>
      <c r="N20" s="53"/>
    </row>
    <row r="21" spans="1:14">
      <c r="A21" s="3" t="s">
        <v>78</v>
      </c>
      <c r="B21" s="3">
        <f>IFERROR(INDEX(Калькулятор!$B$5:$B$22,MATCH("Размер фаски 8 (ch8)",Калькулятор!$A$5:$A$22,0),1),0)</f>
        <v>0</v>
      </c>
      <c r="C21" s="3"/>
      <c r="E21" s="5" t="s">
        <v>240</v>
      </c>
      <c r="F21" s="5">
        <f>(IFERROR(INDEX(Калькулятор!B5:B22,MATCH("Диаметр 2-ой проточки (Dw)",Калькулятор!A5:A22,0),1),0)-IFERROR(INDEX(Калькулятор!B5:B22,MATCH("Диаметр дна канавы (Dk)",Калькулятор!A5:A22,0),1),0))/2</f>
        <v>0</v>
      </c>
    </row>
    <row r="22" spans="1:14">
      <c r="A22" s="3" t="s">
        <v>79</v>
      </c>
      <c r="B22" s="3"/>
      <c r="C22" s="3"/>
    </row>
    <row r="23" spans="1:14">
      <c r="A23" s="3" t="s">
        <v>80</v>
      </c>
      <c r="B23" s="3">
        <f>IFERROR(INDEX(Калькулятор!$B$5:$B$22,MATCH("Размер фаски 9 (ch9)",Калькулятор!$A$5:$A$22,0),1),0)</f>
        <v>0</v>
      </c>
      <c r="C23" s="3"/>
    </row>
    <row r="24" spans="1:14">
      <c r="A24" s="3" t="s">
        <v>81</v>
      </c>
      <c r="B24" s="3"/>
      <c r="C24" s="3"/>
    </row>
    <row r="25" spans="1:14">
      <c r="A25" s="3" t="s">
        <v>82</v>
      </c>
      <c r="B25" s="3">
        <f>IFERROR(INDEX(Калькулятор!$B$5:$B$22,MATCH("Размер фаски 10 (ch10)",Калькулятор!$A$5:$A$22,0),1),0)</f>
        <v>0</v>
      </c>
      <c r="C25" s="3"/>
    </row>
    <row r="26" spans="1:14">
      <c r="A26" s="3" t="s">
        <v>83</v>
      </c>
      <c r="B26" s="3"/>
      <c r="C26" s="3"/>
    </row>
    <row r="27" spans="1:14">
      <c r="A27" s="4" t="s">
        <v>54</v>
      </c>
      <c r="B27" s="5">
        <f>IFERROR((INDEX(Калькулятор!B5:B22,MATCH("Диаметр 2-ой проточки (Dw)",Калькулятор!A5:A22,0),1)-INDEX(Калькулятор!B5:B22,MATCH("Внутренний диаметр (d)",Калькулятор!A5:A22,0),1))/2,0)</f>
        <v>0</v>
      </c>
      <c r="C27" s="5"/>
    </row>
    <row r="28" spans="1:14">
      <c r="A28" s="5" t="s">
        <v>55</v>
      </c>
      <c r="B28" s="5">
        <f>IFERROR(INDEX(Калькулятор!B5:B22,MATCH("Габарит детали (t)",Калькулятор!A5:A22,0),1)-INDEX(Калькулятор!B5:B22,MATCH("Глубина 2-ой проточки (b)",Калькулятор!A5:A22,0),1),0)</f>
        <v>0</v>
      </c>
      <c r="C28" s="5"/>
    </row>
    <row r="29" spans="1:14">
      <c r="A29" s="4" t="s">
        <v>60</v>
      </c>
      <c r="B29" s="5">
        <f>INDEX(Калькулятор!E5:E22,MATCH("Толщина листа (S)",Калькулятор!$D$5:$D$22,0),1)</f>
        <v>0</v>
      </c>
      <c r="C29" s="5"/>
    </row>
    <row r="30" spans="1:14">
      <c r="A30" s="4" t="s">
        <v>66</v>
      </c>
      <c r="B30" s="5">
        <f>INDEX(Калькулятор!B5:B22,MATCH("Габарит детали (t)",Калькулятор!A5:A22,0),1)</f>
        <v>0</v>
      </c>
      <c r="C30" s="5"/>
      <c r="E30" t="e">
        <f>INDEX(Калькулятор!B5:B22,MATCH("Ширина канавы (Х)",Калькулятор!A5:A22,0),1)</f>
        <v>#N/A</v>
      </c>
    </row>
    <row r="31" spans="1:14">
      <c r="A31" s="4" t="s">
        <v>84</v>
      </c>
      <c r="B31" s="5" t="e">
        <f>IF(B3/(2*(HLOOKUP('Получение данных для расчета'!B78,Таблица5[#All],MATCH("Сием поперечное точение",'Типы станков'!A1:A28,0) )))&lt;0,0,B3/(2*(HLOOKUP('Получение данных для расчета'!B78,Таблица5[#All],MATCH("Сием поперечное точение",'Типы станков'!A1:A28,0) ))))</f>
        <v>#N/A</v>
      </c>
      <c r="C31" s="5"/>
    </row>
    <row r="32" spans="1:14">
      <c r="A32" s="4" t="s">
        <v>86</v>
      </c>
      <c r="B32" s="5" t="e">
        <f>(3.14*B31*(INDEX(Калькулятор!E5:E22,MATCH("Внешний диаметр (D1)",Калькулятор!D5:D22,0),1)+INDEX(Калькулятор!E5:E22,MATCH("Внутренний диаметр (D2)",Калькулятор!D5:D22,0),1)))/2</f>
        <v>#N/A</v>
      </c>
      <c r="C32" s="5"/>
    </row>
    <row r="33" spans="1:8">
      <c r="A33" s="4" t="s">
        <v>85</v>
      </c>
      <c r="B33" s="5" t="e">
        <f>B5/(2*(HLOOKUP('Получение данных для расчета'!B78,Таблица5[#All],MATCH("Подача поперечная",'Типы станков'!A1:A28,0) )))</f>
        <v>#N/A</v>
      </c>
      <c r="C33" s="5"/>
    </row>
    <row r="34" spans="1:8">
      <c r="A34" s="4" t="s">
        <v>87</v>
      </c>
      <c r="B34" s="5" t="e">
        <f>(3.14*B33*(INDEX(Калькулятор!B5:B22,MATCH("Диаметр проточки (DM)",Калькулятор!A5:A22,0),1)+INDEX(Калькулятор!B5:B22,MATCH("Внутренний диаметр (d)",Калькулятор!A5:A22,0),1)))/2</f>
        <v>#N/A</v>
      </c>
      <c r="C34" s="5"/>
    </row>
    <row r="35" spans="1:8">
      <c r="A35" s="4" t="s">
        <v>88</v>
      </c>
      <c r="B35" s="5" t="e">
        <f>B27/(2*(HLOOKUP('Получение данных для расчета'!B78,Таблица5[#All],MATCH("Сием поперечное точение",'Типы станков'!A1:A28,0) )))</f>
        <v>#N/A</v>
      </c>
      <c r="C35" s="5"/>
      <c r="H35">
        <f>IFERROR(1,0)</f>
        <v>1</v>
      </c>
    </row>
    <row r="36" spans="1:8">
      <c r="A36" s="4" t="s">
        <v>89</v>
      </c>
      <c r="B36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0</v>
      </c>
      <c r="C36" s="5"/>
    </row>
    <row r="37" spans="1:8">
      <c r="A37" s="4" t="s">
        <v>90</v>
      </c>
      <c r="B37" s="5" t="e">
        <f>B29/HLOOKUP('Получение данных для расчета'!B78,Таблица5[#All],MATCH("Подача продольная ",'Типы станков'!A1:A28,0) )</f>
        <v>#N/A</v>
      </c>
      <c r="C37" s="5"/>
    </row>
    <row r="38" spans="1:8">
      <c r="A38" s="4" t="s">
        <v>91</v>
      </c>
      <c r="B38" s="5" t="e">
        <f>(SQRT( HLOOKUP('Получение данных для расчета'!B78,Таблица5[#All],MATCH("Подача продольная ",'Типы станков'!A1:A28,0) )^2+(3.14*INDEX(Калькулятор!B5:B22,MATCH("Внешний диметр (D)",Калькулятор!A5:A22,0),1))^2))*B37</f>
        <v>#N/A</v>
      </c>
      <c r="C38" s="5"/>
    </row>
    <row r="39" spans="1:8">
      <c r="A39" s="4" t="s">
        <v>92</v>
      </c>
      <c r="B39" s="5" t="e">
        <f>B30/HLOOKUP('Получение данных для расчета'!B78,Таблица5[#All],MATCH("Подача продольная ",'Типы станков'!A1:A28,0) )</f>
        <v>#N/A</v>
      </c>
      <c r="C39" s="5"/>
    </row>
    <row r="40" spans="1:8">
      <c r="A40" s="4" t="s">
        <v>93</v>
      </c>
      <c r="B40" s="5" t="e">
        <f>(SQRT( HLOOKUP('Получение данных для расчета'!B78,Таблица5[#All],MATCH("Подача продольная ",'Типы станков'!A1:A28,0) )^2+(3.14*INDEX(Калькулятор!B5:B22,MATCH("Внутренний диаметр (d)",Калькулятор!A5:A22,0),1))^2))*B39</f>
        <v>#N/A</v>
      </c>
      <c r="C40" s="5"/>
      <c r="D40" t="e">
        <f>HLOOKUP('Получение данных для расчета'!B78,Таблица5[#All],MATCH("Подача продольная ",'Типы станков'!A1:A28,0) )</f>
        <v>#N/A</v>
      </c>
      <c r="G40">
        <f>MATCH(B78,Лист1!1:1,0)</f>
        <v>7</v>
      </c>
    </row>
    <row r="41" spans="1:8">
      <c r="A41" s="5" t="s">
        <v>106</v>
      </c>
      <c r="B41" s="5">
        <f>IFERROR(INDEX(Калькулятор!B5:B22,MATCH("Глубина 2-ой проточки (с)",Калькулятор!A5:A22,0),1),0)</f>
        <v>0</v>
      </c>
      <c r="C41" s="5" t="s">
        <v>107</v>
      </c>
    </row>
    <row r="42" spans="1:8">
      <c r="A42" s="4" t="s">
        <v>109</v>
      </c>
      <c r="B42" s="5" t="e">
        <f>B27/(2*(HLOOKUP('Получение данных для расчета'!B78,Таблица5[#All],MATCH("Сием поперечное точение",'Типы станков'!A1:A28,0) )))</f>
        <v>#N/A</v>
      </c>
      <c r="C42" s="5"/>
    </row>
    <row r="43" spans="1:8">
      <c r="A43" s="4" t="s">
        <v>110</v>
      </c>
      <c r="B43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0</v>
      </c>
      <c r="C43" s="5"/>
    </row>
    <row r="44" spans="1:8">
      <c r="A44" s="30" t="s">
        <v>112</v>
      </c>
      <c r="B44" s="5" t="e">
        <f>AVERAGE(INDEX(Калькулятор!B5:B22,MATCH("Диаметр проточки (DM)",Калькулятор!A5:A22,0),1),INDEX(Калькулятор!B5:B22,MATCH("Внутренний диаметр (d)",Калькулятор!A5:A22,0),1))</f>
        <v>#DIV/0!</v>
      </c>
      <c r="C44" s="5"/>
    </row>
    <row r="45" spans="1:8">
      <c r="A45" s="30" t="s">
        <v>113</v>
      </c>
      <c r="B45" s="5" t="e">
        <f>AVERAGE(INDEX(Калькулятор!B5:B22,MATCH("Диаметр 2-ой проточки (Dw)",Калькулятор!A5:A22,0),1),INDEX(Калькулятор!B5:B22,MATCH("Внутренний диаметр (d)",Калькулятор!A5:A22,0),1))</f>
        <v>#N/A</v>
      </c>
      <c r="C45" s="5"/>
      <c r="F45" s="29"/>
    </row>
    <row r="46" spans="1:8">
      <c r="A46" s="30" t="s">
        <v>116</v>
      </c>
      <c r="B46" s="5">
        <f>AVERAGE(INDEX(Калькулятор!E5:E22,MATCH("Внешний диаметр (D1)",Калькулятор!D5:D22,0),1),IFERROR(INDEX(Калькулятор!E5:E22,MATCH("Внутренний диаметр (D2)",Калькулятор!D5:D22,0),1),INDEX(Калькулятор!E5:E22,MATCH("Внешний диаметр (D1)",Калькулятор!D5:D22,0),1)))</f>
        <v>0</v>
      </c>
      <c r="C46" s="5"/>
      <c r="F46" s="29"/>
    </row>
    <row r="47" spans="1:8">
      <c r="A47" s="30" t="s">
        <v>125</v>
      </c>
      <c r="B47" s="5" t="e">
        <f>AVERAGE(INDEX(Калькулятор!E5:E22,MATCH("Внешний диаметр (D1)",Калькулятор!D5:D22,0),1),INDEX(Калькулятор!B5:B22,MATCH("Внешний диметр (D)",Калькулятор!A5:A22,0),1))</f>
        <v>#DIV/0!</v>
      </c>
      <c r="C47" s="5"/>
      <c r="F47" s="29"/>
    </row>
    <row r="48" spans="1:8">
      <c r="A48" s="30" t="s">
        <v>126</v>
      </c>
      <c r="B48" s="5" t="e">
        <f>AVERAGE(INDEX(Калькулятор!E5:E22,MATCH("Внутренний диаметр (D2)",Калькулятор!D5:D22,0),1),INDEX(Калькулятор!B5:B22,MATCH("Внутренний диаметр (d)",Калькулятор!A5:A22,0),1))</f>
        <v>#DIV/0!</v>
      </c>
      <c r="C48" s="5"/>
      <c r="F48" s="29"/>
    </row>
    <row r="49" spans="1:5">
      <c r="A49" s="30" t="s">
        <v>114</v>
      </c>
      <c r="B49" s="5" t="e">
        <f t="array" ref="B49">INDEX(Таблица3[Средний диаметр],MATCH(MIN(ABS(Таблица3[Средний диаметр]-B45)),ABS(Таблица3[Средний диаметр]-B45),0),1)</f>
        <v>#N/A</v>
      </c>
      <c r="C49" s="5"/>
    </row>
    <row r="50" spans="1:5">
      <c r="A50" s="30" t="s">
        <v>115</v>
      </c>
      <c r="B50" s="5" t="e">
        <f t="array" ref="B50">INDEX(Таблица3[Средний диаметр],MATCH(MIN(ABS(Таблица3[Средний диаметр]-B44)),ABS(Таблица3[Средний диаметр]-B44),0),1)</f>
        <v>#DIV/0!</v>
      </c>
      <c r="C50" s="5"/>
    </row>
    <row r="51" spans="1:5">
      <c r="A51" s="30" t="s">
        <v>117</v>
      </c>
      <c r="B51" s="5">
        <f t="array" ref="B51">INDEX(Таблица3[Средний диаметр],MATCH(MIN(ABS(Таблица3[Средний диаметр]-B46)),ABS(Таблица3[Средний диаметр]-B46),0),1)</f>
        <v>50</v>
      </c>
      <c r="C51" s="5"/>
    </row>
    <row r="52" spans="1:5">
      <c r="A52" s="30" t="s">
        <v>123</v>
      </c>
      <c r="B52" s="5" t="e">
        <f t="array" ref="B52">INDEX(Таблица3[Средний диаметр],MATCH(MIN(ABS(Таблица3[Средний диаметр]-B47)),ABS(Таблица3[Средний диаметр]-B47),0),1)</f>
        <v>#DIV/0!</v>
      </c>
      <c r="C52" s="5"/>
    </row>
    <row r="53" spans="1:5">
      <c r="A53" s="30" t="s">
        <v>124</v>
      </c>
      <c r="B53" s="5" t="e">
        <f t="array" ref="B53">INDEX(Таблица3[Средний диаметр],MATCH(MIN(ABS(Таблица3[Средний диаметр]-B48)),ABS(Таблица3[Средний диаметр]-B48),0),1)</f>
        <v>#DIV/0!</v>
      </c>
      <c r="C53" s="5"/>
    </row>
    <row r="54" spans="1:5">
      <c r="A54" s="30" t="s">
        <v>118</v>
      </c>
      <c r="B54" s="5">
        <f>HLOOKUP(B78,Таблица5[#All],MATCH("Подача поперечная",'Типы станков'!A1:A18,0),0 )*HLOOKUP(B78,Таблица3[#All],MATCH(B51,Лист1!A1:A49,0),0 )</f>
        <v>157.5</v>
      </c>
      <c r="C54" s="5"/>
    </row>
    <row r="55" spans="1:5">
      <c r="A55" s="30" t="s">
        <v>119</v>
      </c>
      <c r="B55" s="5" t="e">
        <f>HLOOKUP(B78,Таблица5[#All],MATCH("Подача продольная ",'Типы станков'!A1:A18,0),0)*HLOOKUP(B78,Таблица3[#All],MATCH($B$52,Лист1!A1:A49,0),0)</f>
        <v>#DIV/0!</v>
      </c>
      <c r="C55" s="5" t="e">
        <f>HLOOKUP('Получение данных для расчета'!B78,'Типы станков'!A1:I1,MATCH("Подача продольная ",'Типы станков'!A1:A28,0),0)</f>
        <v>#REF!</v>
      </c>
      <c r="E55">
        <f>HLOOKUP(B78,Таблица5[#All],MATCH("Подача продольная ",'Типы станков'!A1:A28,0),0)</f>
        <v>0.15</v>
      </c>
    </row>
    <row r="56" spans="1:5">
      <c r="A56" s="30" t="s">
        <v>120</v>
      </c>
      <c r="B56" s="5" t="e">
        <f>HLOOKUP(B78,Таблица5[#All],MATCH("Подача продольная ",'Типы станков'!A1:A18,0),0)*HLOOKUP(B78,Таблица3[#All],MATCH(B53,Лист1!A1:A49,0),0 )</f>
        <v>#DIV/0!</v>
      </c>
      <c r="C56" s="5"/>
    </row>
    <row r="57" spans="1:5">
      <c r="A57" s="30" t="s">
        <v>121</v>
      </c>
      <c r="B57" s="5" t="e">
        <f>HLOOKUP(B78,Таблица5[#All],MATCH("Подача поперечная",'Типы станков'!A1:A18,0),0 )*HLOOKUP(B78,Таблица3[#All],MATCH(B50,Лист1!A1:A49,0),0 )</f>
        <v>#DIV/0!</v>
      </c>
      <c r="C57" s="5"/>
    </row>
    <row r="58" spans="1:5">
      <c r="A58" s="30" t="s">
        <v>122</v>
      </c>
      <c r="B58" s="5">
        <f>IFERROR(HLOOKUP(B78,Таблица5[#All],MATCH("Подача поперечная",'Типы станков'!A1:A18,0) )*HLOOKUP(B78,Таблица3[#All],MATCH(B49,Лист1!A1:A49,0) ),1)</f>
        <v>1</v>
      </c>
      <c r="C58" s="5"/>
    </row>
    <row r="59" spans="1:5">
      <c r="A59" s="30" t="s">
        <v>140</v>
      </c>
      <c r="B59" s="5" t="e">
        <f>INDEX(Калькулятор!B5:B22,MATCH("Глубина канавки (К)",Калькулятор!A5:A22,0),1)-INDEX(Калькулятор!B5:B22,MATCH("Глубина упорно бурта (Е)",Калькулятор!A5:A22,0),1)</f>
        <v>#N/A</v>
      </c>
      <c r="C59" s="5"/>
    </row>
    <row r="60" spans="1:5">
      <c r="A60" s="12" t="s">
        <v>141</v>
      </c>
      <c r="B60" s="5" t="e">
        <f>AVERAGE(INDEX(Калькулятор!B5:B22,MATCH("Внешний диаметр канавки (DM1)",Калькулятор!A5:A22,0),1),INDEX(Калькулятор!B5:B22,MATCH("Внутренний диаметр (d)",Калькулятор!A5:A22,0),1))</f>
        <v>#N/A</v>
      </c>
      <c r="C60" s="5"/>
    </row>
    <row r="61" spans="1:5">
      <c r="A61" s="30" t="s">
        <v>142</v>
      </c>
      <c r="B61" s="5" t="e">
        <f t="array" ref="B61">INDEX(Таблица3[Средний диаметр],MATCH(MIN(ABS(Таблица3[Средний диаметр]-B60)),ABS(Таблица3[Средний диаметр]-B60),0),1)</f>
        <v>#N/A</v>
      </c>
      <c r="C61" s="5"/>
    </row>
    <row r="62" spans="1:5">
      <c r="A62" s="30" t="s">
        <v>144</v>
      </c>
      <c r="B62" s="5" t="e">
        <f>(INDEX(Калькулятор!B5:B22,MATCH("Внешний диаметр канавки (DM1)",Калькулятор!A5:A22,0),1)-INDEX(Калькулятор!B5:B22,MATCH("Внутренний диаметр (d)",Калькулятор!A5:A22,0),1))/2</f>
        <v>#N/A</v>
      </c>
      <c r="C62" s="5"/>
    </row>
    <row r="63" spans="1:5">
      <c r="A63" s="30" t="s">
        <v>146</v>
      </c>
      <c r="B63" s="5" t="e">
        <f>HLOOKUP('Получение данных для расчета'!B78,Таблица5[#All],MATCH("Подача поперечная",'Типы станков'!A1:A28,0),0 )*HLOOKUP('Получение данных для расчета'!B78,Таблица3[#All],MATCH(B61,Таблица3[Средний диаметр],0),0 )</f>
        <v>#N/A</v>
      </c>
      <c r="C63" s="5"/>
    </row>
    <row r="64" spans="1:5">
      <c r="A64" s="30" t="s">
        <v>147</v>
      </c>
      <c r="B64" s="5" t="e">
        <f>(INDEX(Калькулятор!B5:B22,MATCH("Внешний диаметр канавки (DM1)",Калькулятор!A5:A22,0),1)-INDEX(Калькулятор!B5:B22,MATCH("Внутренний диаметр канавки (dM2)",Калькулятор!A5:A22,0),1))/2</f>
        <v>#N/A</v>
      </c>
      <c r="C64" s="5"/>
    </row>
    <row r="65" spans="1:3">
      <c r="A65" s="30" t="s">
        <v>153</v>
      </c>
      <c r="B65" s="5" t="e">
        <f>AVERAGE(INDEX(Калькулятор!B5:B22,MATCH("Внешний диаметр канавки (DM1)",Калькулятор!A5:A22,0),1),INDEX(Калькулятор!B5:B22,MATCH("Внутренний диаметр канавки (dM2)",Калькулятор!A5:A22,0),1))</f>
        <v>#N/A</v>
      </c>
      <c r="C65" s="5"/>
    </row>
    <row r="66" spans="1:3">
      <c r="A66" s="30" t="s">
        <v>154</v>
      </c>
      <c r="B66" s="5" t="e">
        <f t="array" ref="B66">INDEX(Таблица3[Средний диаметр],MATCH(MIN(ABS(Таблица3[Средний диаметр]-B65)),ABS(Таблица3[Средний диаметр]-B65),0),1)</f>
        <v>#N/A</v>
      </c>
      <c r="C66" s="5"/>
    </row>
    <row r="67" spans="1:3">
      <c r="A67" s="30" t="s">
        <v>155</v>
      </c>
      <c r="B67" s="5" t="e">
        <f>HLOOKUP('Получение данных для расчета'!B78,Таблица5[#All],MATCH("Подача на канаву",'Типы станков'!A1:A28,0) )*HLOOKUP('Получение данных для расчета'!B78,Таблица3[#All],MATCH(B52,Таблица3[Средний диаметр],0) )</f>
        <v>#N/A</v>
      </c>
      <c r="C67" s="5"/>
    </row>
    <row r="68" spans="1:3">
      <c r="A68" s="30" t="s">
        <v>199</v>
      </c>
      <c r="B68" s="5" t="e">
        <f>AVERAGE(INDEX(Калькулятор!B5:B22,MATCH("Диаметр проточки (DM)",Калькулятор!A5:A22,0),1),INDEX(Калькулятор!B5:B22,MATCH("Внешний диметр (D)",Калькулятор!A5:A22,0),1))</f>
        <v>#DIV/0!</v>
      </c>
      <c r="C68" s="5"/>
    </row>
    <row r="69" spans="1:3">
      <c r="A69" s="30" t="s">
        <v>200</v>
      </c>
      <c r="B69" s="5" t="e">
        <f t="array" ref="B69">INDEX(Таблица3[Средний диаметр],MATCH(MIN(ABS(Таблица3[Средний диаметр]-B68)),ABS(Таблица3[Средний диаметр]-B68),0),1)</f>
        <v>#DIV/0!</v>
      </c>
      <c r="C69" s="5"/>
    </row>
    <row r="70" spans="1:3">
      <c r="A70" s="30" t="s">
        <v>201</v>
      </c>
      <c r="B70" s="5" t="e">
        <f>HLOOKUP(B78,Таблица5[#All],MATCH("Подача поперечная",'Типы станков'!A1:A18,0),0 )*HLOOKUP(B78,Таблица3[#All],MATCH(B69,Лист1!A1:A49,0),0 )</f>
        <v>#DIV/0!</v>
      </c>
      <c r="C70" s="5"/>
    </row>
    <row r="71" spans="1:3">
      <c r="A71" s="31" t="s">
        <v>239</v>
      </c>
      <c r="B71" s="40" t="e">
        <f>HLOOKUP(B78,Таблица5[#All],MATCH("Подача поперечная",'Типы станков'!A1:A18,0),0)*HLOOKUP(B78,Таблица3[#All],MATCH($B$52,Лист1!A1:A49,0),0)</f>
        <v>#DIV/0!</v>
      </c>
      <c r="C71" s="40"/>
    </row>
    <row r="72" spans="1:3">
      <c r="A72" s="31"/>
      <c r="B72" s="40"/>
      <c r="C72" s="40"/>
    </row>
    <row r="73" spans="1:3">
      <c r="A73" s="31"/>
      <c r="B73" s="40"/>
      <c r="C73" s="40"/>
    </row>
    <row r="74" spans="1:3">
      <c r="A74" s="31"/>
      <c r="B74" s="40"/>
      <c r="C74" s="40"/>
    </row>
    <row r="75" spans="1:3">
      <c r="A75" s="31"/>
      <c r="B75" s="40"/>
      <c r="C75" s="40"/>
    </row>
    <row r="76" spans="1:3">
      <c r="A76" s="31" t="s">
        <v>148</v>
      </c>
      <c r="B76" s="40"/>
      <c r="C76" s="40"/>
    </row>
    <row r="78" spans="1:3">
      <c r="A78" s="6" t="s">
        <v>29</v>
      </c>
      <c r="B78" s="6" t="str">
        <f>IF(INDEX(Калькулятор!B5:B22,MATCH("Внешний диметр (D)",Калькулятор!A5:A22,0),1)&gt;250,IF(INDEX(Калькулятор!B5:B22,MATCH("Внешний диметр (D)",Калькулятор!A5:A22,0),1)&gt;500,IF(INDEX(Калькулятор!B5:B22,MATCH("Внешний диметр (D)",Калькулятор!A5:A22,0),1)&gt;800,IF(INDEX(Калькулятор!B5:B22,MATCH("Внешний диметр (D)",Калькулятор!A5:A22,0),1)&gt;2500,"ошибка отсутствуют станки больших диаметров","CK5126"),"1М65"),"1М63"),"16к20")</f>
        <v>16к20</v>
      </c>
    </row>
    <row r="80" spans="1:3">
      <c r="A80" s="7" t="s">
        <v>24</v>
      </c>
      <c r="B80" s="7">
        <f>IF(ROUNDUP((B1/2)/(HLOOKUP(B78,Таблица5[#All],MATCH("Сием продольное точение",'Типы станков'!A1:A28,0),0 )),0)=1,ROUNDUP((B1/2)/(HLOOKUP(B78,Таблица5[#All],MATCH("Сием продольное точение",'Типы станков'!A1:A28,0),0 )),0)+1,ROUNDUP((B1/2)/(HLOOKUP(B78,Таблица5[#All],MATCH("Сием продольное точение",'Типы станков'!A1:A28,0),0 )),0))</f>
        <v>0</v>
      </c>
    </row>
    <row r="81" spans="1:2">
      <c r="A81" s="7" t="s">
        <v>25</v>
      </c>
      <c r="B81" s="7">
        <f>IF(ROUNDUP((B2/2)/(HLOOKUP('Получение данных для расчета'!B78,Таблица5[#All],MATCH("Сием поперечное точение",'Типы станков'!A1:A28,0),0 )),0)=1,ROUNDUP((B2/2)/(HLOOKUP('Получение данных для расчета'!B78,Таблица5[#All],MATCH("Сием поперечное точение",'Типы станков'!A1:A28,0),0 )),0)+1,ROUNDUP((B2/2)/(HLOOKUP('Получение данных для расчета'!B78,Таблица5[#All],MATCH("Сием поперечное точение",'Типы станков'!A1:A28,0),0 )),0))</f>
        <v>0</v>
      </c>
    </row>
    <row r="82" spans="1:2">
      <c r="A82" s="7" t="s">
        <v>62</v>
      </c>
      <c r="B82" s="7">
        <f>IF(ROUNDUP((B4/2)/(HLOOKUP('Получение данных для расчета'!B78,Таблица5[#All],MATCH("Сием поперечное точение",'Типы станков'!A1:A28,0),0 )),0)=1,ROUNDUP((B4/2)/(HLOOKUP('Получение данных для расчета'!B78,Таблица5[#All],MATCH("Сием поперечное точение",'Типы станков'!A1:A28,0),0 )),0)+1,ROUNDUP((B4/2)/(HLOOKUP('Получение данных для расчета'!B78,Таблица5[#All],MATCH("Сием поперечное точение",'Типы станков'!A1:A28,0),0 )),0))</f>
        <v>0</v>
      </c>
    </row>
    <row r="83" spans="1:2">
      <c r="A83" s="7" t="s">
        <v>67</v>
      </c>
      <c r="B83" s="7">
        <f>IF(ROUNDUP((B6/2)/(HLOOKUP('Получение данных для расчета'!B78,Таблица5[#All],MATCH("Сием поперечное точение",'Типы станков'!A1:A28,0),0 )),0)=1,ROUNDUP((B6/2)/(HLOOKUP('Получение данных для расчета'!B78,Таблица5[#All],MATCH("Сием поперечное точение",'Типы станков'!A1:A28,0),0 )),0)+1,ROUNDUP((B6/2)/(HLOOKUP('Получение данных для расчета'!B78,Таблица5[#All],MATCH("Сием поперечное точение",'Типы станков'!A1:A28,0),0 )),0))</f>
        <v>0</v>
      </c>
    </row>
    <row r="84" spans="1:2">
      <c r="A84" s="7" t="s">
        <v>68</v>
      </c>
      <c r="B84" s="7">
        <f>IF(ROUNDUP((B28)/(HLOOKUP('Получение данных для расчета'!B78,Таблица5[#All],MATCH("Сием поперечное точение",'Типы станков'!A1:A28,0),0 )),0)=1,ROUNDUP((B28)/(HLOOKUP('Получение данных для расчета'!B78,Таблица5[#All],MATCH("Сием поперечное точение",'Типы станков'!A1:A28,0),0 )),0)+1,ROUNDUP((B28)/(HLOOKUP('Получение данных для расчета'!B78,Таблица5[#All],MATCH("Сием поперечное точение",'Типы станков'!A1:A28,0),0 )),0))</f>
        <v>0</v>
      </c>
    </row>
    <row r="85" spans="1:2">
      <c r="A85" s="7" t="s">
        <v>108</v>
      </c>
      <c r="B85" s="7">
        <f>IF(ROUNDUP((B41/2)/(HLOOKUP('Получение данных для расчета'!B78,Таблица5[#All],MATCH("Сием поперечное точение",'Типы станков'!A1:A28,0),0 )),0)=1,ROUNDUP((B41/2)/(HLOOKUP('Получение данных для расчета'!B78,Таблица5[#All],MATCH("Сием поперечное точение",'Типы станков'!A1:A28,0),0 )),0)+1,ROUNDUP((B41/2)/(HLOOKUP('Получение данных для расчета'!B78,Таблица5[#All],MATCH("Сием поперечное точение",'Типы станков'!A1:A28,0),0 )),0))</f>
        <v>0</v>
      </c>
    </row>
    <row r="86" spans="1:2">
      <c r="A86" s="7" t="s">
        <v>151</v>
      </c>
      <c r="B86" s="7" t="e">
        <f>ROUNDUP((B64)/(HLOOKUP('Получение данных для расчета'!B78,Таблица5[#All],MATCH("ширина канавочного резца",'Типы станков'!A1:A28,0),0)),0)+1</f>
        <v>#N/A</v>
      </c>
    </row>
    <row r="87" spans="1:2">
      <c r="A87" s="7" t="s">
        <v>195</v>
      </c>
      <c r="B87" s="7">
        <f>IF(ROUNDUP((F12)/(HLOOKUP('Получение данных для расчета'!B78,Таблица5[#All],MATCH("Сием поперечное точение",'Типы станков'!A1:A28,0),0 )),0)=1,ROUNDUP((F12)/(HLOOKUP('Получение данных для расчета'!B78,Таблица5[#All],MATCH("Сием поперечное точение",'Типы станков'!A1:A28,0),0 )),0)+1,ROUNDUP((F12)/(HLOOKUP('Получение данных для расчета'!B78,Таблица5[#All],MATCH("Сием поперечное точение",'Типы станков'!A1:A28,0),0 )),0))</f>
        <v>0</v>
      </c>
    </row>
    <row r="88" spans="1:2">
      <c r="A88" s="7" t="s">
        <v>218</v>
      </c>
      <c r="B88" s="7">
        <f>IF(ROUNDUP((F20)/(HLOOKUP(B78,Таблица5[#All],MATCH("Сием продольное точение",'Типы станков'!A1:A28,0),0 )),0)=1,ROUNDUP((F20)/(HLOOKUP(B78,Таблица5[#All],MATCH("Сием продольное точение",'Типы станков'!A1:A28,0),0 )),0)+1,ROUNDUP((F20)/(HLOOKUP(B78,Таблица5[#All],MATCH("Сием продольное точение",'Типы станков'!A1:A28,0),0 )),0))</f>
        <v>0</v>
      </c>
    </row>
    <row r="89" spans="1:2">
      <c r="A89" s="7" t="s">
        <v>241</v>
      </c>
      <c r="B89" s="7" t="e">
        <f>IF(ROUNDUP((INDEX(Калькулятор!B5:B22,MATCH("Ширина канавы (Х)",Калькулятор!A5:A22,0),1))/(HLOOKUP(B78,Таблица5[#All],MATCH("Сием продольное точение",'Типы станков'!A2:A29,0),0 )),0)=1,ROUNDUP((INDEX(Калькулятор!B5:B22,MATCH("Ширина канавы (Х)",Калькулятор!A5:A22,0),1))/(HLOOKUP(B78,Таблица5[#All],MATCH("Сием продольное точение",'Типы станков'!A2:A29,0),0 )),0)+1,ROUNDUP((INDEX(Калькулятор!B5:B22,MATCH("Ширина канавы (Х)",Калькулятор!A5:A22,0),1))/(HLOOKUP(B78,Таблица5[#All],MATCH("Сием продольное точение",'Типы станков'!A2:A29,0),0 )),0))</f>
        <v>#N/A</v>
      </c>
    </row>
    <row r="90" spans="1:2">
      <c r="A90" s="9"/>
    </row>
    <row r="91" spans="1:2">
      <c r="A91" s="7" t="s">
        <v>189</v>
      </c>
      <c r="B91" s="12">
        <f>HLOOKUP(INDEX(Калькулятор!E5:E22,MATCH("Толщина листа (S)",Калькулятор!$D$5:$D$22,0),1),Таблица6[],MATCH(INDEX(Калькулятор!E5:E22,MATCH("Внешний диаметр (D1)",Калькулятор!D5:D22,0),1),Таблица6[10000000]),1)</f>
        <v>1.8</v>
      </c>
    </row>
    <row r="92" spans="1:2">
      <c r="A92" s="9"/>
    </row>
    <row r="93" spans="1:2">
      <c r="A93" s="9"/>
    </row>
    <row r="94" spans="1:2">
      <c r="A94" s="9"/>
    </row>
    <row r="96" spans="1:2">
      <c r="A96" s="8" t="s">
        <v>61</v>
      </c>
      <c r="B96" s="8">
        <f>B29*B80</f>
        <v>0</v>
      </c>
    </row>
    <row r="97" spans="1:5">
      <c r="A97" s="8" t="s">
        <v>65</v>
      </c>
      <c r="B97" s="8">
        <f>IFERROR(B30*B82,0)</f>
        <v>0</v>
      </c>
    </row>
    <row r="98" spans="1:5">
      <c r="A98" s="8" t="s">
        <v>129</v>
      </c>
      <c r="B98" s="8">
        <f>IFERROR(IF(B5*B83&gt;=0,B5*B83,"Ошибка длинна расточки меньше 0!"),0)</f>
        <v>0</v>
      </c>
    </row>
    <row r="99" spans="1:5">
      <c r="A99" s="8" t="s">
        <v>130</v>
      </c>
      <c r="B99" s="8">
        <f>IFERROR(IF(B27*B84+B27*B85&gt;=0,B27*B84+B27*B85,"Ошибка длинна расточки меньше 0!"),0)</f>
        <v>0</v>
      </c>
      <c r="E99">
        <f>IFERROR(,0)</f>
        <v>0</v>
      </c>
    </row>
    <row r="100" spans="1:5">
      <c r="A100" s="8" t="s">
        <v>99</v>
      </c>
      <c r="B100" s="8">
        <f>IFERROR(B3*B81,0)</f>
        <v>0</v>
      </c>
    </row>
    <row r="101" spans="1:5">
      <c r="A101" s="8" t="s">
        <v>143</v>
      </c>
      <c r="B101" s="12">
        <f>IFERROR(B62*B83,0)</f>
        <v>0</v>
      </c>
    </row>
    <row r="102" spans="1:5">
      <c r="A102" s="8" t="s">
        <v>152</v>
      </c>
      <c r="B102" s="12">
        <f>IFERROR(B59*B86,0)</f>
        <v>0</v>
      </c>
    </row>
    <row r="103" spans="1:5">
      <c r="A103" s="8" t="s">
        <v>170</v>
      </c>
      <c r="B103" s="12">
        <f>F8+F9+F10</f>
        <v>0</v>
      </c>
    </row>
    <row r="104" spans="1:5">
      <c r="A104" s="8" t="s">
        <v>197</v>
      </c>
      <c r="B104" s="12">
        <f>IFERROR(F11*B87,0)</f>
        <v>0</v>
      </c>
    </row>
    <row r="105" spans="1:5">
      <c r="A105" s="8" t="s">
        <v>204</v>
      </c>
      <c r="B105" s="12">
        <f>IFERROR(F13*F14,0)</f>
        <v>0</v>
      </c>
    </row>
    <row r="106" spans="1:5">
      <c r="A106" s="8" t="s">
        <v>215</v>
      </c>
      <c r="B106" s="12">
        <f>F18*B80</f>
        <v>0</v>
      </c>
    </row>
    <row r="107" spans="1:5">
      <c r="A107" s="8" t="s">
        <v>216</v>
      </c>
      <c r="B107" s="12" t="e">
        <f>F19*B88</f>
        <v>#N/A</v>
      </c>
    </row>
    <row r="108" spans="1:5">
      <c r="A108" s="8" t="s">
        <v>242</v>
      </c>
      <c r="B108" s="12">
        <f>IFERROR(F21*B89,0)</f>
        <v>0</v>
      </c>
    </row>
    <row r="109" spans="1:5">
      <c r="A109" s="41"/>
    </row>
    <row r="111" spans="1:5">
      <c r="A111" s="12" t="s">
        <v>97</v>
      </c>
      <c r="B111" s="12" t="e">
        <f>B96/B55</f>
        <v>#DIV/0!</v>
      </c>
    </row>
    <row r="112" spans="1:5">
      <c r="A112" s="12" t="s">
        <v>98</v>
      </c>
      <c r="B112" s="12" t="e">
        <f>B97/B55</f>
        <v>#DIV/0!</v>
      </c>
    </row>
    <row r="113" spans="1:11">
      <c r="A113" s="12" t="s">
        <v>127</v>
      </c>
      <c r="B113" s="12">
        <f>IFERROR(B98/B57,0)</f>
        <v>0</v>
      </c>
    </row>
    <row r="114" spans="1:11">
      <c r="A114" s="12" t="s">
        <v>128</v>
      </c>
      <c r="B114" s="12">
        <f>IFERROR(B99/B58,0)</f>
        <v>0</v>
      </c>
    </row>
    <row r="115" spans="1:11">
      <c r="A115" s="12" t="s">
        <v>100</v>
      </c>
      <c r="B115" s="12">
        <f>IFERROR(B100/B54,0)</f>
        <v>0</v>
      </c>
    </row>
    <row r="116" spans="1:11">
      <c r="A116" s="12" t="s">
        <v>101</v>
      </c>
      <c r="B116" s="12">
        <f>B130/HLOOKUP('Получение данных для расчета'!B78,Таблица5[#All],MATCH("Скорость резания фасок мм/мин",'Типы станков'!A1:A28,0),0 )</f>
        <v>0</v>
      </c>
    </row>
    <row r="117" spans="1:11">
      <c r="A117" s="12" t="s">
        <v>145</v>
      </c>
      <c r="B117" s="12">
        <f>IFERROR(B101/B63,0)</f>
        <v>0</v>
      </c>
    </row>
    <row r="118" spans="1:11">
      <c r="A118" s="12" t="s">
        <v>156</v>
      </c>
      <c r="B118" s="12">
        <f>IFERROR(B102/B67,0)</f>
        <v>0</v>
      </c>
    </row>
    <row r="119" spans="1:11">
      <c r="A119" s="12" t="s">
        <v>173</v>
      </c>
      <c r="B119" s="12">
        <f>IFERROR(B103/B57,0)</f>
        <v>0</v>
      </c>
    </row>
    <row r="120" spans="1:11">
      <c r="A120" s="12" t="s">
        <v>198</v>
      </c>
      <c r="B120" s="12">
        <f>IFERROR(B104/B70,0)</f>
        <v>0</v>
      </c>
    </row>
    <row r="121" spans="1:11">
      <c r="A121" s="48" t="s">
        <v>205</v>
      </c>
      <c r="B121" s="12">
        <f>IFERROR(B105/F17,0)</f>
        <v>0</v>
      </c>
    </row>
    <row r="122" spans="1:11">
      <c r="A122" s="12" t="s">
        <v>219</v>
      </c>
      <c r="B122" s="12">
        <f>IFERROR(B106/B55,0)</f>
        <v>0</v>
      </c>
    </row>
    <row r="123" spans="1:11">
      <c r="A123" s="12" t="s">
        <v>220</v>
      </c>
      <c r="B123" s="12">
        <f>IFERROR(B107/B55,0)</f>
        <v>0</v>
      </c>
    </row>
    <row r="124" spans="1:11">
      <c r="A124" s="12" t="s">
        <v>237</v>
      </c>
      <c r="B124" s="12" t="e">
        <f>'Расчет резьбы'!B12</f>
        <v>#N/A</v>
      </c>
    </row>
    <row r="125" spans="1:11">
      <c r="A125" s="12" t="s">
        <v>243</v>
      </c>
      <c r="B125">
        <f>IFERROR(B108/B71,0)</f>
        <v>0</v>
      </c>
    </row>
    <row r="126" spans="1:11">
      <c r="A126" s="42"/>
    </row>
    <row r="128" spans="1:11">
      <c r="A128" s="51" t="s">
        <v>40</v>
      </c>
      <c r="B128" s="2" t="s">
        <v>41</v>
      </c>
      <c r="C128" s="2" t="s">
        <v>42</v>
      </c>
      <c r="D128" s="2" t="s">
        <v>43</v>
      </c>
      <c r="E128" s="2" t="s">
        <v>44</v>
      </c>
      <c r="F128" s="2" t="s">
        <v>45</v>
      </c>
      <c r="G128" s="2" t="s">
        <v>46</v>
      </c>
      <c r="H128" s="2" t="s">
        <v>47</v>
      </c>
      <c r="I128" s="2" t="s">
        <v>48</v>
      </c>
      <c r="J128" s="2" t="s">
        <v>49</v>
      </c>
      <c r="K128" s="2" t="s">
        <v>50</v>
      </c>
    </row>
    <row r="129" spans="1:11">
      <c r="A129" s="52"/>
      <c r="B129" s="2">
        <f>IFERROR(ROUND(B7/COS(B8),2),0)</f>
        <v>0</v>
      </c>
      <c r="C129" s="2">
        <f>IFERROR(ROUND(B9/COS(B10),2),0)</f>
        <v>0</v>
      </c>
      <c r="D129" s="2">
        <f>IFERROR(ROUND(B11/COS(B12),2),0)</f>
        <v>0</v>
      </c>
      <c r="E129" s="2">
        <f>IFERROR(ROUND(B13/COS(B14),2),0)</f>
        <v>0</v>
      </c>
      <c r="F129" s="2">
        <f>IFERROR(ROUND(B15/COS(B16),2),0)</f>
        <v>0</v>
      </c>
      <c r="G129" s="2">
        <f>IFERROR(ROUND(B17/COS(B18),2),0)</f>
        <v>0</v>
      </c>
      <c r="H129" s="2">
        <f>IFERROR(ROUND(B19/COS(B20),2),0)</f>
        <v>0</v>
      </c>
      <c r="I129" s="2">
        <f>IFERROR(ROUND(B21/COS(B22),2),0)</f>
        <v>0</v>
      </c>
      <c r="J129" s="2">
        <f>IFERROR(ROUND(B23/COS(B24),2),0)</f>
        <v>0</v>
      </c>
      <c r="K129" s="2">
        <f>IFERROR(ROUND(B25/COS(B26),2),0)</f>
        <v>0</v>
      </c>
    </row>
    <row r="130" spans="1:11">
      <c r="A130" s="10" t="s">
        <v>69</v>
      </c>
      <c r="B130" s="10">
        <f>SUM(B129:K129)</f>
        <v>0</v>
      </c>
    </row>
  </sheetData>
  <mergeCells count="2">
    <mergeCell ref="A128:A129"/>
    <mergeCell ref="N1:N20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C0B3F-EA44-441E-8E61-B15A25E14571}">
  <dimension ref="A1:B12"/>
  <sheetViews>
    <sheetView workbookViewId="0">
      <selection activeCell="B12" sqref="B12"/>
    </sheetView>
  </sheetViews>
  <sheetFormatPr defaultRowHeight="15"/>
  <cols>
    <col min="1" max="1" width="36.42578125" customWidth="1"/>
  </cols>
  <sheetData>
    <row r="1" spans="1:2">
      <c r="A1" s="44" t="s">
        <v>177</v>
      </c>
      <c r="B1" s="44" t="e">
        <f>INDEX(Калькулятор!B6:B23,MATCH("Длина резьбы (L)",Калькулятор!A6:A23,0),1)</f>
        <v>#N/A</v>
      </c>
    </row>
    <row r="2" spans="1:2">
      <c r="A2" s="44" t="s">
        <v>175</v>
      </c>
      <c r="B2" s="44" t="e">
        <f>INDEX(Калькулятор!B6:B23,MATCH("Диаметр резьбы (М)",Калькулятор!A6:A23,0),1)</f>
        <v>#N/A</v>
      </c>
    </row>
    <row r="3" spans="1:2">
      <c r="A3" s="44" t="s">
        <v>176</v>
      </c>
      <c r="B3" s="44" t="e">
        <f>INDEX(Калькулятор!B6:B23,MATCH("Шаг резьбы (Н)",Калькулятор!A6:A23,0),1)</f>
        <v>#N/A</v>
      </c>
    </row>
    <row r="4" spans="1:2">
      <c r="A4" s="44" t="s">
        <v>222</v>
      </c>
      <c r="B4" s="44" t="e">
        <f>INDEX(Калькулятор!B6:B23,MATCH("Внеш. Рез.=1/Внутр.  Рез.=0",Калькулятор!A6:A23,0),1)</f>
        <v>#N/A</v>
      </c>
    </row>
    <row r="5" spans="1:2">
      <c r="A5" s="45" t="s">
        <v>223</v>
      </c>
      <c r="B5" t="e">
        <f>IF(AND(B4=1,B2&lt;16),1,0)</f>
        <v>#N/A</v>
      </c>
    </row>
    <row r="6" spans="1:2">
      <c r="A6" t="s">
        <v>224</v>
      </c>
      <c r="B6" t="e">
        <f>IF(AND(B4=0,B2&lt;36),1,0)</f>
        <v>#N/A</v>
      </c>
    </row>
    <row r="7" spans="1:2">
      <c r="A7" s="46" t="s">
        <v>227</v>
      </c>
      <c r="B7" t="e">
        <f>(B3/2)*1.1</f>
        <v>#N/A</v>
      </c>
    </row>
    <row r="8" spans="1:2">
      <c r="A8" s="46" t="s">
        <v>226</v>
      </c>
      <c r="B8" s="44">
        <f>INDEX(Таблица5[16К20],MATCH("съем на резьбе",Таблица5[Режим],0),1)</f>
        <v>0.2</v>
      </c>
    </row>
    <row r="9" spans="1:2">
      <c r="A9" s="46" t="s">
        <v>225</v>
      </c>
      <c r="B9" t="e">
        <f>ROUNDUP(B7/B8,0)</f>
        <v>#N/A</v>
      </c>
    </row>
    <row r="10" spans="1:2">
      <c r="A10" s="46" t="s">
        <v>228</v>
      </c>
      <c r="B10" t="e">
        <f>B1*B9</f>
        <v>#N/A</v>
      </c>
    </row>
    <row r="11" spans="1:2">
      <c r="A11" s="46" t="s">
        <v>229</v>
      </c>
      <c r="B11" s="43" t="e">
        <f>IF(B4=1,IF(B5=0,'Обороты резьба машин'!B4,'Обороты резьба машин'!B2),IF(B6=0,'Обороты резьба машин'!B5,'Обороты резьба машин'!B3))</f>
        <v>#N/A</v>
      </c>
    </row>
    <row r="12" spans="1:2">
      <c r="A12" s="46" t="s">
        <v>236</v>
      </c>
      <c r="B12" t="e">
        <f>B10/(B11*B3)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C64B-4008-44D7-9F40-DF8C7AC92628}">
  <dimension ref="A1:B5"/>
  <sheetViews>
    <sheetView workbookViewId="0">
      <selection activeCell="B3" sqref="B3"/>
    </sheetView>
  </sheetViews>
  <sheetFormatPr defaultRowHeight="15"/>
  <cols>
    <col min="1" max="1" width="27.5703125" customWidth="1"/>
    <col min="2" max="2" width="11.85546875" customWidth="1"/>
  </cols>
  <sheetData>
    <row r="1" spans="1:2">
      <c r="A1" t="s">
        <v>233</v>
      </c>
      <c r="B1" t="s">
        <v>234</v>
      </c>
    </row>
    <row r="2" spans="1:2">
      <c r="A2" t="s">
        <v>230</v>
      </c>
      <c r="B2">
        <v>10</v>
      </c>
    </row>
    <row r="3" spans="1:2">
      <c r="A3" t="s">
        <v>231</v>
      </c>
      <c r="B3">
        <v>12</v>
      </c>
    </row>
    <row r="4" spans="1:2">
      <c r="A4" t="s">
        <v>232</v>
      </c>
      <c r="B4">
        <v>15</v>
      </c>
    </row>
    <row r="5" spans="1:2">
      <c r="A5" t="s">
        <v>235</v>
      </c>
      <c r="B5">
        <v>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985C-FE10-487E-AB5B-8955A213B9F1}">
  <sheetPr codeName="Лист6"/>
  <dimension ref="A1:B20"/>
  <sheetViews>
    <sheetView workbookViewId="0">
      <selection activeCell="A2" sqref="A2"/>
    </sheetView>
  </sheetViews>
  <sheetFormatPr defaultRowHeight="15"/>
  <cols>
    <col min="1" max="1" width="86.85546875" customWidth="1"/>
    <col min="2" max="2" width="62.7109375" customWidth="1"/>
  </cols>
  <sheetData>
    <row r="1" spans="1:2">
      <c r="A1">
        <f>MATCH("Внешний диметр (D)",Калькулятор!A5:A22,0)</f>
        <v>1</v>
      </c>
      <c r="B1" t="s">
        <v>27</v>
      </c>
    </row>
    <row r="2" spans="1:2">
      <c r="A2">
        <f>INDEX(Калькулятор!B5:B22,MATCH("Внешний диметр (D)",Калькулятор!A5:A22,0),1)</f>
        <v>0</v>
      </c>
      <c r="B2" t="s">
        <v>28</v>
      </c>
    </row>
    <row r="3" spans="1:2">
      <c r="A3" t="str">
        <f>IF(INDEX(Калькулятор!B5:B22,MATCH("Внешний диметр (D)",Калькулятор!A5:A22,0),1)&gt;250,IF(INDEX(Калькулятор!B5:B22,MATCH("Внешний диметр (D)",Калькулятор!A5:A22,0),1)&gt;610,IF(INDEX(Калькулятор!B5:B22,MATCH("Внешний диметр (D)",Калькулятор!A5:A22,0),1)&gt;800,"ошибка отсутствуют станки больших диаметров","1М65"),"1М63"),"16К20")</f>
        <v>16К20</v>
      </c>
      <c r="B3" t="s">
        <v>31</v>
      </c>
    </row>
    <row r="5" spans="1:2">
      <c r="A5">
        <f>ROUNDUP(3.2,0)</f>
        <v>4</v>
      </c>
    </row>
    <row r="19" spans="1:1">
      <c r="A19">
        <f>MATCH("16К20",'Типы станков'!1:1,1)</f>
        <v>2</v>
      </c>
    </row>
    <row r="20" spans="1:1">
      <c r="A20">
        <f>HLOOKUP(Таблица5[#Headers],Таблица5[#All],MATCH("Сием продольное точение",'Типы станков'!A1:A28,0) 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5721-4535-4351-8BD2-B15C6D8E5803}">
  <dimension ref="A1:J11"/>
  <sheetViews>
    <sheetView workbookViewId="0">
      <selection activeCell="K11" sqref="K11"/>
    </sheetView>
  </sheetViews>
  <sheetFormatPr defaultRowHeight="15"/>
  <cols>
    <col min="1" max="9" width="11.85546875" customWidth="1"/>
    <col min="10" max="10" width="12.85546875" customWidth="1"/>
  </cols>
  <sheetData>
    <row r="1" spans="1:10">
      <c r="A1" t="s">
        <v>190</v>
      </c>
      <c r="B1" s="39" t="s">
        <v>180</v>
      </c>
      <c r="C1" s="39" t="s">
        <v>182</v>
      </c>
      <c r="D1" s="39" t="s">
        <v>181</v>
      </c>
      <c r="E1" s="39" t="s">
        <v>183</v>
      </c>
      <c r="F1" s="39" t="s">
        <v>185</v>
      </c>
      <c r="G1" s="39" t="s">
        <v>184</v>
      </c>
      <c r="H1" s="39" t="s">
        <v>186</v>
      </c>
      <c r="I1" s="39" t="s">
        <v>188</v>
      </c>
      <c r="J1" s="39" t="s">
        <v>187</v>
      </c>
    </row>
    <row r="2" spans="1:10">
      <c r="B2" s="39">
        <v>0</v>
      </c>
      <c r="C2" s="39">
        <v>9</v>
      </c>
      <c r="D2" s="39">
        <v>19</v>
      </c>
      <c r="E2" s="39">
        <v>29</v>
      </c>
      <c r="F2" s="39">
        <v>39</v>
      </c>
      <c r="G2" s="39">
        <v>49</v>
      </c>
      <c r="H2" s="39">
        <v>59</v>
      </c>
      <c r="I2" s="39">
        <v>69</v>
      </c>
      <c r="J2" s="39">
        <v>79</v>
      </c>
    </row>
    <row r="3" spans="1:10">
      <c r="A3">
        <v>0</v>
      </c>
      <c r="B3">
        <v>1.8</v>
      </c>
      <c r="C3">
        <v>1.728</v>
      </c>
      <c r="D3">
        <v>1.655</v>
      </c>
      <c r="E3" s="37">
        <v>1.5825</v>
      </c>
      <c r="F3" s="37">
        <v>1</v>
      </c>
      <c r="G3" s="37">
        <v>1.4375</v>
      </c>
      <c r="H3" s="37">
        <v>1.365</v>
      </c>
      <c r="I3" s="37">
        <v>1.2925</v>
      </c>
      <c r="J3" s="37">
        <v>1.22</v>
      </c>
    </row>
    <row r="4" spans="1:10">
      <c r="A4">
        <v>100</v>
      </c>
      <c r="B4" s="37">
        <v>1.7542857199999999</v>
      </c>
      <c r="C4" s="37">
        <v>1.6817857199999999</v>
      </c>
      <c r="D4" s="37">
        <v>1.6092857199999999</v>
      </c>
      <c r="E4" s="37">
        <v>1.5367857199999999</v>
      </c>
      <c r="F4" s="37">
        <v>1.4642857199999999</v>
      </c>
      <c r="G4" s="37">
        <v>1.3917857199999999</v>
      </c>
      <c r="H4" s="37">
        <v>1.3192857200000001</v>
      </c>
      <c r="I4" s="37">
        <v>1.2467857200000001</v>
      </c>
      <c r="J4" s="37">
        <v>1.1742857200000001</v>
      </c>
    </row>
    <row r="5" spans="1:10">
      <c r="A5">
        <v>200</v>
      </c>
      <c r="B5" s="37">
        <v>1.7085714400000001</v>
      </c>
      <c r="C5" s="37">
        <v>1.63607144</v>
      </c>
      <c r="D5" s="37">
        <v>1.56357144</v>
      </c>
      <c r="E5" s="37">
        <v>1.49107144</v>
      </c>
      <c r="F5" s="37">
        <v>1.41857144</v>
      </c>
      <c r="G5" s="37">
        <v>1.34607144</v>
      </c>
      <c r="H5" s="37">
        <v>1.27357144</v>
      </c>
      <c r="I5" s="37">
        <v>1.20107144</v>
      </c>
      <c r="J5" s="37">
        <v>1.12857144</v>
      </c>
    </row>
    <row r="6" spans="1:10">
      <c r="A6">
        <v>300</v>
      </c>
      <c r="B6" s="37">
        <v>1.6628571599999999</v>
      </c>
      <c r="C6" s="37">
        <v>1.5903571599999999</v>
      </c>
      <c r="D6" s="38">
        <v>1.5178571599999999</v>
      </c>
      <c r="E6" s="38">
        <v>1.2749999999999999</v>
      </c>
      <c r="F6" s="38">
        <v>1.3728571599999999</v>
      </c>
      <c r="G6" s="38">
        <v>1.3003571599999999</v>
      </c>
      <c r="H6" s="38">
        <v>1.2278571599999999</v>
      </c>
      <c r="I6" s="37">
        <v>1.1553571600000001</v>
      </c>
      <c r="J6" s="37">
        <v>1.0828571600000001</v>
      </c>
    </row>
    <row r="7" spans="1:10">
      <c r="A7">
        <v>400</v>
      </c>
      <c r="B7" s="37">
        <v>1.6171428800000001</v>
      </c>
      <c r="C7" s="37">
        <v>1.5446428800000001</v>
      </c>
      <c r="D7" s="38">
        <v>1.47214288</v>
      </c>
      <c r="E7" s="38">
        <v>0.91</v>
      </c>
      <c r="F7" s="38">
        <v>1.32714288</v>
      </c>
      <c r="G7" s="38">
        <v>1.25464288</v>
      </c>
      <c r="H7" s="38">
        <v>1.18214288</v>
      </c>
      <c r="I7" s="37">
        <v>1.10964288</v>
      </c>
      <c r="J7" s="37">
        <v>1.03714288</v>
      </c>
    </row>
    <row r="8" spans="1:10">
      <c r="A8">
        <v>500</v>
      </c>
      <c r="B8" s="37">
        <v>1.5714286</v>
      </c>
      <c r="C8" s="37">
        <v>1.4989285999999999</v>
      </c>
      <c r="D8" s="38">
        <v>1.4264285999999999</v>
      </c>
      <c r="E8" s="38">
        <v>1.75</v>
      </c>
      <c r="F8" s="38">
        <v>1.2809999999999999</v>
      </c>
      <c r="G8" s="38">
        <v>1.2089285999999999</v>
      </c>
      <c r="H8" s="38">
        <v>1.1364285999999999</v>
      </c>
      <c r="I8" s="37">
        <v>1.0639285999999999</v>
      </c>
      <c r="J8" s="37">
        <v>1.03</v>
      </c>
    </row>
    <row r="9" spans="1:10">
      <c r="A9">
        <v>600</v>
      </c>
      <c r="B9" s="37">
        <v>1.5257143200000001</v>
      </c>
      <c r="C9" s="37">
        <v>1.4532143200000001</v>
      </c>
      <c r="D9" s="37">
        <v>1.3807143200000001</v>
      </c>
      <c r="E9" s="37">
        <v>1.30821432</v>
      </c>
      <c r="F9" s="37">
        <v>2.14</v>
      </c>
      <c r="G9" s="37">
        <v>1.16321432</v>
      </c>
      <c r="H9" s="37">
        <v>1.09071432</v>
      </c>
      <c r="I9" s="37">
        <v>1.01821432</v>
      </c>
      <c r="J9" s="37">
        <v>1.02</v>
      </c>
    </row>
    <row r="10" spans="1:10">
      <c r="A10">
        <v>700</v>
      </c>
      <c r="B10" s="37">
        <v>1.48000004</v>
      </c>
      <c r="C10" s="37">
        <v>1.40750004</v>
      </c>
      <c r="D10" s="37">
        <v>1.3350000399999999</v>
      </c>
      <c r="E10" s="37">
        <v>1.2625000399999999</v>
      </c>
      <c r="F10" s="37">
        <v>2.04</v>
      </c>
      <c r="G10" s="37">
        <v>1.1175000399999999</v>
      </c>
      <c r="H10" s="37">
        <v>1.0450000399999999</v>
      </c>
      <c r="I10" s="37">
        <v>1.03</v>
      </c>
      <c r="J10" s="37">
        <v>1.01</v>
      </c>
    </row>
    <row r="11" spans="1:10">
      <c r="A11">
        <v>800</v>
      </c>
      <c r="B11" s="37">
        <v>1.4342857600000001</v>
      </c>
      <c r="C11" s="37">
        <v>1.3617857600000001</v>
      </c>
      <c r="D11" s="37">
        <v>1.2892857600000001</v>
      </c>
      <c r="E11" s="37">
        <v>1.21678576</v>
      </c>
      <c r="F11" s="37">
        <v>1.14428576</v>
      </c>
      <c r="G11" s="37">
        <v>1.07178576</v>
      </c>
      <c r="H11" s="37">
        <v>0.99928576000000102</v>
      </c>
      <c r="I11" s="37">
        <v>0.95553573999999997</v>
      </c>
      <c r="J11" s="37">
        <v>0.94948980000000005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F0AB-90EE-44E9-A03F-9A17C948A4CA}">
  <sheetPr codeName="Лист7"/>
  <dimension ref="A1:M19"/>
  <sheetViews>
    <sheetView topLeftCell="D1" workbookViewId="0">
      <selection activeCell="J6" sqref="J6"/>
    </sheetView>
  </sheetViews>
  <sheetFormatPr defaultRowHeight="15"/>
  <cols>
    <col min="1" max="1" width="29.5703125" customWidth="1"/>
    <col min="2" max="2" width="32.28515625" customWidth="1"/>
    <col min="3" max="3" width="27.28515625" customWidth="1"/>
    <col min="4" max="4" width="27" customWidth="1"/>
    <col min="5" max="5" width="27.140625" customWidth="1"/>
    <col min="6" max="7" width="27.5703125" customWidth="1"/>
    <col min="8" max="9" width="27.85546875" customWidth="1"/>
    <col min="10" max="10" width="23.85546875" customWidth="1"/>
    <col min="11" max="11" width="24.85546875" customWidth="1"/>
    <col min="12" max="12" width="24.42578125" customWidth="1"/>
    <col min="13" max="13" width="21.42578125" customWidth="1"/>
  </cols>
  <sheetData>
    <row r="1" spans="1:13">
      <c r="A1" t="s">
        <v>6</v>
      </c>
      <c r="B1" t="s">
        <v>51</v>
      </c>
      <c r="C1" t="s">
        <v>2</v>
      </c>
      <c r="D1" t="s">
        <v>7</v>
      </c>
      <c r="E1" t="s">
        <v>4</v>
      </c>
      <c r="F1" t="s">
        <v>5</v>
      </c>
      <c r="G1" t="s">
        <v>3</v>
      </c>
      <c r="H1" t="s">
        <v>157</v>
      </c>
      <c r="I1" t="s">
        <v>1</v>
      </c>
      <c r="J1" t="s">
        <v>174</v>
      </c>
      <c r="K1" t="s">
        <v>8</v>
      </c>
      <c r="L1" t="s">
        <v>206</v>
      </c>
      <c r="M1" t="s">
        <v>211</v>
      </c>
    </row>
    <row r="2" spans="1:13">
      <c r="A2" t="s">
        <v>21</v>
      </c>
      <c r="B2" t="s">
        <v>21</v>
      </c>
      <c r="C2" t="s">
        <v>21</v>
      </c>
      <c r="D2" t="s">
        <v>21</v>
      </c>
      <c r="E2" t="s">
        <v>21</v>
      </c>
      <c r="F2" t="s">
        <v>21</v>
      </c>
      <c r="G2" t="s">
        <v>21</v>
      </c>
      <c r="H2" t="s">
        <v>21</v>
      </c>
      <c r="I2" t="s">
        <v>21</v>
      </c>
      <c r="J2" t="s">
        <v>21</v>
      </c>
      <c r="K2" t="s">
        <v>21</v>
      </c>
      <c r="L2" t="s">
        <v>21</v>
      </c>
      <c r="M2" t="s">
        <v>21</v>
      </c>
    </row>
    <row r="3" spans="1:13">
      <c r="A3" t="s">
        <v>22</v>
      </c>
      <c r="B3" t="s">
        <v>22</v>
      </c>
      <c r="C3" t="s">
        <v>22</v>
      </c>
      <c r="D3" t="s">
        <v>23</v>
      </c>
      <c r="E3" t="s">
        <v>22</v>
      </c>
      <c r="F3" t="s">
        <v>22</v>
      </c>
      <c r="G3" t="s">
        <v>22</v>
      </c>
      <c r="H3" t="s">
        <v>22</v>
      </c>
      <c r="I3" t="s">
        <v>22</v>
      </c>
      <c r="J3" t="s">
        <v>22</v>
      </c>
      <c r="K3" t="s">
        <v>22</v>
      </c>
      <c r="L3" t="s">
        <v>22</v>
      </c>
      <c r="M3" t="s">
        <v>23</v>
      </c>
    </row>
    <row r="4" spans="1:13">
      <c r="A4" t="s">
        <v>23</v>
      </c>
      <c r="B4" t="s">
        <v>23</v>
      </c>
      <c r="C4" t="s">
        <v>23</v>
      </c>
      <c r="E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  <c r="K4" t="s">
        <v>23</v>
      </c>
      <c r="L4" t="s">
        <v>23</v>
      </c>
    </row>
    <row r="5" spans="1:13">
      <c r="A5" t="s">
        <v>210</v>
      </c>
    </row>
    <row r="19" spans="2:6">
      <c r="B19">
        <v>0</v>
      </c>
      <c r="C19">
        <v>0</v>
      </c>
      <c r="D19">
        <v>0</v>
      </c>
      <c r="F19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EE10-843D-4CB8-9849-79909F37BF0E}">
  <sheetPr codeName="Лист8"/>
  <dimension ref="A1:M19"/>
  <sheetViews>
    <sheetView topLeftCell="D1" workbookViewId="0">
      <selection activeCell="L11" sqref="L11"/>
    </sheetView>
  </sheetViews>
  <sheetFormatPr defaultRowHeight="15"/>
  <cols>
    <col min="1" max="1" width="33.85546875" customWidth="1"/>
    <col min="2" max="2" width="26.42578125" customWidth="1"/>
    <col min="3" max="3" width="29.85546875" customWidth="1"/>
    <col min="4" max="4" width="26.7109375" customWidth="1"/>
    <col min="5" max="5" width="34.85546875" customWidth="1"/>
    <col min="6" max="6" width="26.7109375" customWidth="1"/>
    <col min="7" max="7" width="24.140625" customWidth="1"/>
    <col min="8" max="8" width="20.42578125" customWidth="1"/>
    <col min="9" max="9" width="32.7109375" customWidth="1"/>
    <col min="10" max="10" width="26.7109375" customWidth="1"/>
    <col min="11" max="11" width="24.42578125" customWidth="1"/>
    <col min="12" max="12" width="28.85546875" customWidth="1"/>
    <col min="13" max="13" width="21.5703125" customWidth="1"/>
  </cols>
  <sheetData>
    <row r="1" spans="1:13">
      <c r="A1" s="11" t="s">
        <v>51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  <c r="H1" t="s">
        <v>7</v>
      </c>
      <c r="I1" t="s">
        <v>8</v>
      </c>
      <c r="J1" t="s">
        <v>157</v>
      </c>
      <c r="K1" t="s">
        <v>174</v>
      </c>
      <c r="L1" t="s">
        <v>206</v>
      </c>
      <c r="M1" t="s">
        <v>211</v>
      </c>
    </row>
    <row r="2" spans="1:13">
      <c r="A2" t="s">
        <v>14</v>
      </c>
      <c r="B2" t="s">
        <v>14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  <c r="H2" t="s">
        <v>14</v>
      </c>
      <c r="I2" t="s">
        <v>14</v>
      </c>
      <c r="J2" t="s">
        <v>14</v>
      </c>
      <c r="K2" t="s">
        <v>14</v>
      </c>
      <c r="L2" t="s">
        <v>14</v>
      </c>
      <c r="M2" t="s">
        <v>14</v>
      </c>
    </row>
    <row r="3" spans="1:13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15</v>
      </c>
      <c r="I3" t="s">
        <v>13</v>
      </c>
      <c r="J3" t="s">
        <v>13</v>
      </c>
      <c r="K3" t="s">
        <v>13</v>
      </c>
      <c r="L3" t="s">
        <v>15</v>
      </c>
      <c r="M3" t="s">
        <v>212</v>
      </c>
    </row>
    <row r="4" spans="1:13">
      <c r="A4" t="s">
        <v>15</v>
      </c>
      <c r="B4" t="s">
        <v>15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18</v>
      </c>
      <c r="I4" t="s">
        <v>15</v>
      </c>
      <c r="J4" t="s">
        <v>15</v>
      </c>
      <c r="K4" t="s">
        <v>15</v>
      </c>
      <c r="L4" t="s">
        <v>175</v>
      </c>
      <c r="M4" t="s">
        <v>15</v>
      </c>
    </row>
    <row r="5" spans="1:13">
      <c r="A5" t="s">
        <v>16</v>
      </c>
      <c r="B5" t="s">
        <v>16</v>
      </c>
      <c r="C5" t="s">
        <v>16</v>
      </c>
      <c r="D5" t="s">
        <v>18</v>
      </c>
      <c r="E5" t="s">
        <v>131</v>
      </c>
      <c r="F5" t="s">
        <v>16</v>
      </c>
      <c r="G5" t="s">
        <v>18</v>
      </c>
      <c r="H5" t="s">
        <v>37</v>
      </c>
      <c r="I5" t="s">
        <v>16</v>
      </c>
      <c r="J5" t="s">
        <v>16</v>
      </c>
      <c r="K5" t="s">
        <v>175</v>
      </c>
      <c r="L5" t="s">
        <v>176</v>
      </c>
      <c r="M5" t="s">
        <v>17</v>
      </c>
    </row>
    <row r="6" spans="1:13">
      <c r="A6" t="s">
        <v>17</v>
      </c>
      <c r="B6" t="s">
        <v>17</v>
      </c>
      <c r="C6" t="s">
        <v>17</v>
      </c>
      <c r="D6" t="s">
        <v>37</v>
      </c>
      <c r="E6" t="s">
        <v>132</v>
      </c>
      <c r="F6" t="s">
        <v>17</v>
      </c>
      <c r="G6" t="s">
        <v>37</v>
      </c>
      <c r="H6" t="s">
        <v>19</v>
      </c>
      <c r="I6" t="s">
        <v>191</v>
      </c>
      <c r="J6" t="s">
        <v>161</v>
      </c>
      <c r="K6" t="s">
        <v>176</v>
      </c>
      <c r="L6" t="s">
        <v>177</v>
      </c>
      <c r="M6" t="s">
        <v>18</v>
      </c>
    </row>
    <row r="7" spans="1:13">
      <c r="A7" t="s">
        <v>18</v>
      </c>
      <c r="B7" t="s">
        <v>52</v>
      </c>
      <c r="C7" t="s">
        <v>52</v>
      </c>
      <c r="D7" t="s">
        <v>19</v>
      </c>
      <c r="E7" t="s">
        <v>133</v>
      </c>
      <c r="F7" t="s">
        <v>52</v>
      </c>
      <c r="G7" t="s">
        <v>19</v>
      </c>
      <c r="H7" t="s">
        <v>38</v>
      </c>
      <c r="I7" t="s">
        <v>192</v>
      </c>
      <c r="J7" t="s">
        <v>158</v>
      </c>
      <c r="K7" t="s">
        <v>177</v>
      </c>
      <c r="L7" t="s">
        <v>222</v>
      </c>
      <c r="M7" t="s">
        <v>37</v>
      </c>
    </row>
    <row r="8" spans="1:13">
      <c r="A8" t="s">
        <v>37</v>
      </c>
      <c r="B8" t="s">
        <v>53</v>
      </c>
      <c r="C8" t="s">
        <v>53</v>
      </c>
      <c r="D8" t="s">
        <v>38</v>
      </c>
      <c r="E8" t="s">
        <v>134</v>
      </c>
      <c r="F8" t="s">
        <v>105</v>
      </c>
      <c r="G8" t="s">
        <v>38</v>
      </c>
      <c r="I8" t="s">
        <v>193</v>
      </c>
      <c r="J8" t="s">
        <v>159</v>
      </c>
      <c r="K8" t="s">
        <v>18</v>
      </c>
      <c r="M8" t="s">
        <v>19</v>
      </c>
    </row>
    <row r="9" spans="1:13">
      <c r="A9" t="s">
        <v>19</v>
      </c>
      <c r="B9" t="s">
        <v>18</v>
      </c>
      <c r="C9" t="s">
        <v>18</v>
      </c>
      <c r="E9" t="s">
        <v>135</v>
      </c>
      <c r="F9" t="s">
        <v>18</v>
      </c>
      <c r="G9" t="s">
        <v>20</v>
      </c>
      <c r="I9" t="s">
        <v>18</v>
      </c>
      <c r="J9" t="s">
        <v>160</v>
      </c>
      <c r="K9" t="s">
        <v>37</v>
      </c>
      <c r="L9" t="s">
        <v>52</v>
      </c>
      <c r="M9" t="s">
        <v>38</v>
      </c>
    </row>
    <row r="10" spans="1:13">
      <c r="A10" t="s">
        <v>38</v>
      </c>
      <c r="B10" t="s">
        <v>37</v>
      </c>
      <c r="C10" t="s">
        <v>37</v>
      </c>
      <c r="E10" t="s">
        <v>136</v>
      </c>
      <c r="F10" t="s">
        <v>37</v>
      </c>
      <c r="G10" t="s">
        <v>39</v>
      </c>
      <c r="I10" t="s">
        <v>37</v>
      </c>
      <c r="J10" t="s">
        <v>18</v>
      </c>
      <c r="L10" t="s">
        <v>208</v>
      </c>
    </row>
    <row r="11" spans="1:13">
      <c r="A11" t="s">
        <v>20</v>
      </c>
      <c r="B11" t="s">
        <v>19</v>
      </c>
      <c r="C11" t="s">
        <v>19</v>
      </c>
      <c r="E11" t="s">
        <v>18</v>
      </c>
      <c r="F11" t="s">
        <v>19</v>
      </c>
      <c r="G11" t="s">
        <v>70</v>
      </c>
      <c r="I11" t="s">
        <v>19</v>
      </c>
      <c r="J11" t="s">
        <v>37</v>
      </c>
      <c r="L11" t="s">
        <v>207</v>
      </c>
    </row>
    <row r="12" spans="1:13">
      <c r="A12" t="s">
        <v>39</v>
      </c>
      <c r="B12" t="s">
        <v>38</v>
      </c>
      <c r="C12" t="s">
        <v>38</v>
      </c>
      <c r="E12" t="s">
        <v>37</v>
      </c>
      <c r="F12" t="s">
        <v>38</v>
      </c>
      <c r="G12" t="s">
        <v>71</v>
      </c>
      <c r="I12" t="s">
        <v>38</v>
      </c>
      <c r="J12" t="s">
        <v>19</v>
      </c>
      <c r="L12" t="s">
        <v>17</v>
      </c>
    </row>
    <row r="13" spans="1:13">
      <c r="B13" t="s">
        <v>20</v>
      </c>
      <c r="C13" t="s">
        <v>20</v>
      </c>
      <c r="E13" t="s">
        <v>19</v>
      </c>
      <c r="F13" t="s">
        <v>20</v>
      </c>
      <c r="I13" t="s">
        <v>20</v>
      </c>
      <c r="J13" t="s">
        <v>38</v>
      </c>
      <c r="L13" t="s">
        <v>209</v>
      </c>
    </row>
    <row r="14" spans="1:13">
      <c r="B14" t="s">
        <v>39</v>
      </c>
      <c r="C14" t="s">
        <v>39</v>
      </c>
      <c r="E14" t="s">
        <v>38</v>
      </c>
      <c r="F14" t="s">
        <v>39</v>
      </c>
      <c r="I14" t="s">
        <v>39</v>
      </c>
      <c r="J14" t="s">
        <v>20</v>
      </c>
      <c r="L14" t="s">
        <v>18</v>
      </c>
    </row>
    <row r="15" spans="1:13">
      <c r="E15" t="s">
        <v>20</v>
      </c>
      <c r="F15" t="s">
        <v>70</v>
      </c>
      <c r="I15" t="s">
        <v>70</v>
      </c>
      <c r="J15" t="s">
        <v>39</v>
      </c>
      <c r="L15" t="s">
        <v>37</v>
      </c>
    </row>
    <row r="16" spans="1:13">
      <c r="E16" t="s">
        <v>39</v>
      </c>
      <c r="F16" t="s">
        <v>71</v>
      </c>
      <c r="I16" t="s">
        <v>71</v>
      </c>
      <c r="J16" t="s">
        <v>70</v>
      </c>
      <c r="L16" t="s">
        <v>19</v>
      </c>
    </row>
    <row r="17" spans="1:12">
      <c r="I17" t="s">
        <v>72</v>
      </c>
      <c r="J17" t="s">
        <v>71</v>
      </c>
      <c r="L17" t="s">
        <v>38</v>
      </c>
    </row>
    <row r="18" spans="1:12">
      <c r="I18" t="s">
        <v>73</v>
      </c>
      <c r="L18" t="s">
        <v>20</v>
      </c>
    </row>
    <row r="19" spans="1:12">
      <c r="A19">
        <v>0</v>
      </c>
      <c r="B19">
        <v>0</v>
      </c>
      <c r="C19">
        <v>0</v>
      </c>
      <c r="E19">
        <v>0</v>
      </c>
      <c r="F19">
        <v>0</v>
      </c>
      <c r="G19">
        <v>0</v>
      </c>
      <c r="L19" t="s">
        <v>39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F2D8-67F6-4B9F-943D-AED28BFEE66A}">
  <sheetPr codeName="Лист9"/>
  <dimension ref="A1:A14"/>
  <sheetViews>
    <sheetView workbookViewId="0">
      <selection activeCell="A14" sqref="A14"/>
    </sheetView>
  </sheetViews>
  <sheetFormatPr defaultRowHeight="15"/>
  <cols>
    <col min="1" max="1" width="38.140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7</v>
      </c>
    </row>
    <row r="4" spans="1:1">
      <c r="A4" t="s">
        <v>5</v>
      </c>
    </row>
    <row r="5" spans="1:1">
      <c r="A5" t="s">
        <v>3</v>
      </c>
    </row>
    <row r="6" spans="1:1">
      <c r="A6" t="s">
        <v>8</v>
      </c>
    </row>
    <row r="7" spans="1:1">
      <c r="A7" t="s">
        <v>6</v>
      </c>
    </row>
    <row r="8" spans="1:1">
      <c r="A8" t="s">
        <v>2</v>
      </c>
    </row>
    <row r="9" spans="1:1">
      <c r="A9" t="s">
        <v>51</v>
      </c>
    </row>
    <row r="10" spans="1:1">
      <c r="A10" t="s">
        <v>4</v>
      </c>
    </row>
    <row r="11" spans="1:1">
      <c r="A11" t="s">
        <v>157</v>
      </c>
    </row>
    <row r="12" spans="1:1">
      <c r="A12" t="s">
        <v>174</v>
      </c>
    </row>
    <row r="13" spans="1:1">
      <c r="A13" t="s">
        <v>206</v>
      </c>
    </row>
    <row r="14" spans="1:1">
      <c r="A14" t="s">
        <v>211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Калькулятор</vt:lpstr>
      <vt:lpstr>Типы станков</vt:lpstr>
      <vt:lpstr>Лист1</vt:lpstr>
      <vt:lpstr>Получение данных для расчета</vt:lpstr>
      <vt:lpstr>Расчет резьбы</vt:lpstr>
      <vt:lpstr>Обороты резьба машин</vt:lpstr>
      <vt:lpstr>Лист3</vt:lpstr>
      <vt:lpstr>Кооф вспом работ</vt:lpstr>
      <vt:lpstr>Параметры заготовки</vt:lpstr>
      <vt:lpstr>Параметры изделий</vt:lpstr>
      <vt:lpstr>Типы изделий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Гожко Николай Алексеевич</dc:creator>
  <cp:lastModifiedBy>Сасин Вадим Анатольевич</cp:lastModifiedBy>
  <cp:lastPrinted>2026-02-19T09:22:11Z</cp:lastPrinted>
  <dcterms:created xsi:type="dcterms:W3CDTF">2025-10-29T07:41:08Z</dcterms:created>
  <dcterms:modified xsi:type="dcterms:W3CDTF">2026-05-06T08:01:30Z</dcterms:modified>
</cp:coreProperties>
</file>
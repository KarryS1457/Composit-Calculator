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клименко лв\Desktop\Калькулятор точения\Новая папка\"/>
    </mc:Choice>
  </mc:AlternateContent>
  <xr:revisionPtr revIDLastSave="0" documentId="13_ncr:1_{23AF207A-1A30-4136-B215-7194E553DC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9" i="1" l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6" i="1" l="1"/>
  <c r="AA7" i="1"/>
  <c r="AA8" i="1"/>
  <c r="AA9" i="1"/>
  <c r="AA10" i="1"/>
  <c r="AA11" i="1"/>
  <c r="AA12" i="1"/>
  <c r="AA13" i="1"/>
  <c r="AA14" i="1"/>
  <c r="AA15" i="1"/>
  <c r="AA5" i="1"/>
  <c r="G49" i="1"/>
  <c r="G45" i="1"/>
  <c r="G41" i="1"/>
  <c r="G37" i="1"/>
  <c r="O18" i="1" l="1"/>
  <c r="G33" i="1"/>
  <c r="G25" i="1" l="1"/>
  <c r="G29" i="1" l="1"/>
  <c r="G21" i="1" l="1"/>
  <c r="O19" i="1" l="1"/>
  <c r="O11" i="1"/>
  <c r="O21" i="1" l="1"/>
  <c r="O20" i="1"/>
  <c r="O28" i="1"/>
  <c r="O26" i="1"/>
  <c r="O27" i="1"/>
</calcChain>
</file>

<file path=xl/sharedStrings.xml><?xml version="1.0" encoding="utf-8"?>
<sst xmlns="http://schemas.openxmlformats.org/spreadsheetml/2006/main" count="82" uniqueCount="23">
  <si>
    <t>1С</t>
  </si>
  <si>
    <t>Факт</t>
  </si>
  <si>
    <t>Калькулятор</t>
  </si>
  <si>
    <t>Коэф</t>
  </si>
  <si>
    <t>Перевод времени с 1С</t>
  </si>
  <si>
    <t>Время на настойку(кулачки и т.д.)</t>
  </si>
  <si>
    <t>если время меньше 10мин используем стандарт в 15 мин</t>
  </si>
  <si>
    <t>ДИП500</t>
  </si>
  <si>
    <t>ДИП 500</t>
  </si>
  <si>
    <t>ПУО 394.01.00.001</t>
  </si>
  <si>
    <t>ЦХ 402.19.30.003</t>
  </si>
  <si>
    <t>ЦХ 402.200.30.003</t>
  </si>
  <si>
    <t>АВС 426.113.30.003</t>
  </si>
  <si>
    <t>ФРЗ 402.001196.00</t>
  </si>
  <si>
    <t>ЦХ 300.101.30.003</t>
  </si>
  <si>
    <t>Черкашин</t>
  </si>
  <si>
    <t>ЭН 508.610.05.30.002</t>
  </si>
  <si>
    <t>эн508.610.11.30.002</t>
  </si>
  <si>
    <t>шп402.222.30.003</t>
  </si>
  <si>
    <t>тнф300.80.000</t>
  </si>
  <si>
    <t>?</t>
  </si>
  <si>
    <t>(Радиус на чертеже) Хрисанов</t>
  </si>
  <si>
    <t>цх508.138.30.002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</si>
</sst>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:ss;@"/>
    <numFmt numFmtId="165" formatCode="dd/mm/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 vertical="center"/>
    </xf>
    <xf numFmtId="0" fontId="3" fillId="0" borderId="0" xfId="0" applyFont="1"/>
    <xf numFmtId="164" fontId="3" fillId="0" borderId="2" xfId="0" applyNumberFormat="1" applyFont="1" applyBorder="1" applyAlignment="1">
      <alignment horizontal="center" vertical="center" wrapText="1"/>
    </xf>
    <xf numFmtId="21" fontId="3" fillId="0" borderId="0" xfId="0" applyNumberFormat="1" applyFont="1"/>
    <xf numFmtId="164" fontId="3" fillId="0" borderId="4" xfId="0" applyNumberFormat="1" applyFont="1" applyBorder="1" applyAlignment="1">
      <alignment horizontal="center" vertical="center" wrapText="1"/>
    </xf>
    <xf numFmtId="164" fontId="3" fillId="0" borderId="0" xfId="0" applyNumberFormat="1" applyFont="1"/>
    <xf numFmtId="21" fontId="0" fillId="0" borderId="0" xfId="0" applyNumberFormat="1"/>
    <xf numFmtId="0" fontId="4" fillId="0" borderId="0" xfId="0" applyFont="1"/>
    <xf numFmtId="21" fontId="4" fillId="0" borderId="8" xfId="0" applyNumberFormat="1" applyFont="1" applyBorder="1" applyAlignment="1">
      <alignment horizontal="right" wrapText="1"/>
    </xf>
    <xf numFmtId="21" fontId="4" fillId="0" borderId="0" xfId="0" applyNumberFormat="1" applyFont="1"/>
    <xf numFmtId="164" fontId="3" fillId="0" borderId="11" xfId="0" applyNumberFormat="1" applyFont="1" applyBorder="1" applyAlignment="1">
      <alignment horizontal="center" vertical="center" wrapText="1"/>
    </xf>
    <xf numFmtId="164" fontId="3" fillId="0" borderId="14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2" fontId="2" fillId="0" borderId="2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3" fillId="2" borderId="5" xfId="0" applyFont="1" applyFill="1" applyBorder="1"/>
    <xf numFmtId="0" fontId="3" fillId="0" borderId="6" xfId="0" applyFont="1" applyBorder="1"/>
    <xf numFmtId="164" fontId="3" fillId="0" borderId="7" xfId="0" applyNumberFormat="1" applyFont="1" applyBorder="1"/>
    <xf numFmtId="0" fontId="3" fillId="2" borderId="0" xfId="0" applyFont="1" applyFill="1"/>
    <xf numFmtId="21" fontId="3" fillId="2" borderId="0" xfId="0" applyNumberFormat="1" applyFont="1" applyFill="1"/>
    <xf numFmtId="21" fontId="3" fillId="0" borderId="8" xfId="0" applyNumberFormat="1" applyFont="1" applyBorder="1" applyAlignment="1">
      <alignment horizontal="right" wrapText="1"/>
    </xf>
    <xf numFmtId="0" fontId="2" fillId="0" borderId="9" xfId="0" applyFont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/>
    </xf>
    <xf numFmtId="21" fontId="3" fillId="0" borderId="2" xfId="0" applyNumberFormat="1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21" fontId="3" fillId="0" borderId="11" xfId="0" applyNumberFormat="1" applyFont="1" applyBorder="1" applyAlignment="1">
      <alignment horizontal="center" vertical="center"/>
    </xf>
    <xf numFmtId="21" fontId="3" fillId="0" borderId="14" xfId="0" applyNumberFormat="1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21" fontId="4" fillId="0" borderId="11" xfId="0" applyNumberFormat="1" applyFont="1" applyBorder="1" applyAlignment="1">
      <alignment horizontal="center" vertical="center" wrapText="1"/>
    </xf>
    <xf numFmtId="21" fontId="4" fillId="0" borderId="14" xfId="0" applyNumberFormat="1" applyFont="1" applyBorder="1" applyAlignment="1">
      <alignment horizontal="center" vertical="center" wrapText="1"/>
    </xf>
    <xf numFmtId="21" fontId="3" fillId="0" borderId="27" xfId="0" applyNumberFormat="1" applyFont="1" applyBorder="1" applyAlignment="1">
      <alignment horizontal="center" vertical="center"/>
    </xf>
    <xf numFmtId="21" fontId="3" fillId="0" borderId="29" xfId="0" applyNumberFormat="1" applyFont="1" applyBorder="1" applyAlignment="1">
      <alignment horizontal="center" vertical="center"/>
    </xf>
    <xf numFmtId="21" fontId="3" fillId="0" borderId="45" xfId="0" applyNumberFormat="1" applyFont="1" applyBorder="1" applyAlignment="1">
      <alignment horizontal="center" vertical="center"/>
    </xf>
    <xf numFmtId="21" fontId="3" fillId="0" borderId="46" xfId="0" applyNumberFormat="1" applyFont="1" applyBorder="1" applyAlignment="1">
      <alignment horizontal="center" vertical="center"/>
    </xf>
    <xf numFmtId="14" fontId="2" fillId="0" borderId="39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165" fontId="2" fillId="0" borderId="39" xfId="0" applyNumberFormat="1" applyFont="1" applyBorder="1" applyAlignment="1">
      <alignment horizontal="center" vertical="center" wrapText="1"/>
    </xf>
    <xf numFmtId="14" fontId="2" fillId="0" borderId="4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14" xfId="0" applyNumberFormat="1" applyFont="1" applyBorder="1" applyAlignment="1">
      <alignment horizontal="center" vertical="center" wrapText="1"/>
    </xf>
    <xf numFmtId="21" fontId="3" fillId="0" borderId="11" xfId="0" applyNumberFormat="1" applyFont="1" applyBorder="1" applyAlignment="1">
      <alignment horizontal="center" vertical="center" wrapText="1"/>
    </xf>
    <xf numFmtId="21" fontId="3" fillId="0" borderId="2" xfId="0" applyNumberFormat="1" applyFont="1" applyBorder="1" applyAlignment="1">
      <alignment horizontal="center" vertical="center" wrapText="1"/>
    </xf>
    <xf numFmtId="21" fontId="3" fillId="0" borderId="1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" fontId="3" fillId="0" borderId="19" xfId="0" applyNumberFormat="1" applyFont="1" applyBorder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164" fontId="3" fillId="0" borderId="10" xfId="0" applyNumberFormat="1" applyFont="1" applyBorder="1" applyAlignment="1">
      <alignment horizontal="center" vertical="center" wrapText="1"/>
    </xf>
    <xf numFmtId="164" fontId="3" fillId="0" borderId="13" xfId="0" applyNumberFormat="1" applyFont="1" applyBorder="1" applyAlignment="1">
      <alignment horizontal="center" vertical="center" wrapText="1"/>
    </xf>
    <xf numFmtId="21" fontId="3" fillId="0" borderId="12" xfId="0" applyNumberFormat="1" applyFont="1" applyBorder="1" applyAlignment="1">
      <alignment horizontal="center" vertical="center" wrapText="1"/>
    </xf>
    <xf numFmtId="21" fontId="3" fillId="0" borderId="15" xfId="0" applyNumberFormat="1" applyFont="1" applyBorder="1" applyAlignment="1">
      <alignment horizontal="center" vertical="center" wrapText="1"/>
    </xf>
    <xf numFmtId="2" fontId="3" fillId="0" borderId="32" xfId="0" applyNumberFormat="1" applyFont="1" applyBorder="1" applyAlignment="1">
      <alignment horizontal="center" vertical="center" wrapText="1"/>
    </xf>
    <xf numFmtId="2" fontId="3" fillId="0" borderId="34" xfId="0" applyNumberFormat="1" applyFont="1" applyBorder="1" applyAlignment="1">
      <alignment horizontal="center" vertical="center" wrapText="1"/>
    </xf>
    <xf numFmtId="2" fontId="3" fillId="0" borderId="20" xfId="0" applyNumberFormat="1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21" fontId="3" fillId="0" borderId="17" xfId="0" applyNumberFormat="1" applyFont="1" applyBorder="1" applyAlignment="1">
      <alignment horizontal="center" vertical="center" wrapText="1"/>
    </xf>
    <xf numFmtId="21" fontId="3" fillId="0" borderId="26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center" vertical="center" wrapText="1"/>
    </xf>
    <xf numFmtId="164" fontId="3" fillId="0" borderId="26" xfId="0" applyNumberFormat="1" applyFont="1" applyBorder="1" applyAlignment="1">
      <alignment horizontal="center" vertical="center" wrapText="1"/>
    </xf>
    <xf numFmtId="164" fontId="3" fillId="0" borderId="41" xfId="0" applyNumberFormat="1" applyFont="1" applyBorder="1" applyAlignment="1">
      <alignment horizontal="center" vertical="center" wrapText="1"/>
    </xf>
    <xf numFmtId="164" fontId="3" fillId="0" borderId="42" xfId="0" applyNumberFormat="1" applyFont="1" applyBorder="1" applyAlignment="1">
      <alignment horizontal="center" vertical="center" wrapText="1"/>
    </xf>
    <xf numFmtId="21" fontId="3" fillId="0" borderId="43" xfId="0" applyNumberFormat="1" applyFont="1" applyBorder="1" applyAlignment="1">
      <alignment horizontal="center" vertical="center" wrapText="1"/>
    </xf>
    <xf numFmtId="21" fontId="3" fillId="0" borderId="44" xfId="0" applyNumberFormat="1" applyFont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Лист1!$Y$5:$Y$29</c:f>
              <c:numCache>
                <c:formatCode>General</c:formatCode>
                <c:ptCount val="25"/>
                <c:pt idx="0">
                  <c:v>7.5</c:v>
                </c:pt>
                <c:pt idx="1">
                  <c:v>7.7</c:v>
                </c:pt>
                <c:pt idx="2">
                  <c:v>8</c:v>
                </c:pt>
                <c:pt idx="3">
                  <c:v>24.5</c:v>
                </c:pt>
                <c:pt idx="4">
                  <c:v>23</c:v>
                </c:pt>
                <c:pt idx="5">
                  <c:v>25</c:v>
                </c:pt>
                <c:pt idx="6">
                  <c:v>33</c:v>
                </c:pt>
                <c:pt idx="7">
                  <c:v>26.5</c:v>
                </c:pt>
                <c:pt idx="8">
                  <c:v>26</c:v>
                </c:pt>
                <c:pt idx="9">
                  <c:v>30</c:v>
                </c:pt>
                <c:pt idx="10">
                  <c:v>25</c:v>
                </c:pt>
                <c:pt idx="11">
                  <c:v>26</c:v>
                </c:pt>
                <c:pt idx="12">
                  <c:v>22.5</c:v>
                </c:pt>
                <c:pt idx="13">
                  <c:v>25</c:v>
                </c:pt>
                <c:pt idx="14">
                  <c:v>33</c:v>
                </c:pt>
                <c:pt idx="15">
                  <c:v>26.5</c:v>
                </c:pt>
                <c:pt idx="16">
                  <c:v>30</c:v>
                </c:pt>
                <c:pt idx="17">
                  <c:v>25</c:v>
                </c:pt>
                <c:pt idx="18">
                  <c:v>22</c:v>
                </c:pt>
                <c:pt idx="19">
                  <c:v>16.5</c:v>
                </c:pt>
                <c:pt idx="20">
                  <c:v>14</c:v>
                </c:pt>
                <c:pt idx="21">
                  <c:v>22</c:v>
                </c:pt>
                <c:pt idx="22">
                  <c:v>14</c:v>
                </c:pt>
                <c:pt idx="23">
                  <c:v>24</c:v>
                </c:pt>
                <c:pt idx="24">
                  <c:v>34</c:v>
                </c:pt>
              </c:numCache>
            </c:numRef>
          </c:xVal>
          <c:yVal>
            <c:numRef>
              <c:f>Лист1!$Z$5:$Z$29</c:f>
              <c:numCache>
                <c:formatCode>General</c:formatCode>
                <c:ptCount val="25"/>
                <c:pt idx="0">
                  <c:v>14.7</c:v>
                </c:pt>
                <c:pt idx="1">
                  <c:v>16.3</c:v>
                </c:pt>
                <c:pt idx="2">
                  <c:v>8</c:v>
                </c:pt>
                <c:pt idx="3">
                  <c:v>28.1</c:v>
                </c:pt>
                <c:pt idx="4">
                  <c:v>24</c:v>
                </c:pt>
                <c:pt idx="5">
                  <c:v>45.5</c:v>
                </c:pt>
                <c:pt idx="6">
                  <c:v>40</c:v>
                </c:pt>
                <c:pt idx="7">
                  <c:v>34</c:v>
                </c:pt>
                <c:pt idx="8">
                  <c:v>32</c:v>
                </c:pt>
                <c:pt idx="9">
                  <c:v>37</c:v>
                </c:pt>
                <c:pt idx="10">
                  <c:v>36</c:v>
                </c:pt>
                <c:pt idx="11">
                  <c:v>35</c:v>
                </c:pt>
                <c:pt idx="12">
                  <c:v>24</c:v>
                </c:pt>
                <c:pt idx="13">
                  <c:v>45</c:v>
                </c:pt>
                <c:pt idx="14">
                  <c:v>40</c:v>
                </c:pt>
                <c:pt idx="15">
                  <c:v>34</c:v>
                </c:pt>
                <c:pt idx="16">
                  <c:v>37</c:v>
                </c:pt>
                <c:pt idx="17">
                  <c:v>36</c:v>
                </c:pt>
                <c:pt idx="18">
                  <c:v>30</c:v>
                </c:pt>
                <c:pt idx="19">
                  <c:v>20</c:v>
                </c:pt>
                <c:pt idx="20">
                  <c:v>19.5</c:v>
                </c:pt>
                <c:pt idx="21">
                  <c:v>31</c:v>
                </c:pt>
                <c:pt idx="22">
                  <c:v>17</c:v>
                </c:pt>
                <c:pt idx="23">
                  <c:v>35</c:v>
                </c:pt>
                <c:pt idx="24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4C-4800-97C3-B7F6A3ACEEB5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Лист1!$Y$5:$Y$29</c:f>
              <c:numCache>
                <c:formatCode>General</c:formatCode>
                <c:ptCount val="25"/>
                <c:pt idx="0">
                  <c:v>7.5</c:v>
                </c:pt>
                <c:pt idx="1">
                  <c:v>7.7</c:v>
                </c:pt>
                <c:pt idx="2">
                  <c:v>8</c:v>
                </c:pt>
                <c:pt idx="3">
                  <c:v>24.5</c:v>
                </c:pt>
                <c:pt idx="4">
                  <c:v>23</c:v>
                </c:pt>
                <c:pt idx="5">
                  <c:v>25</c:v>
                </c:pt>
                <c:pt idx="6">
                  <c:v>33</c:v>
                </c:pt>
                <c:pt idx="7">
                  <c:v>26.5</c:v>
                </c:pt>
                <c:pt idx="8">
                  <c:v>26</c:v>
                </c:pt>
                <c:pt idx="9">
                  <c:v>30</c:v>
                </c:pt>
                <c:pt idx="10">
                  <c:v>25</c:v>
                </c:pt>
                <c:pt idx="11">
                  <c:v>26</c:v>
                </c:pt>
                <c:pt idx="12">
                  <c:v>22.5</c:v>
                </c:pt>
                <c:pt idx="13">
                  <c:v>25</c:v>
                </c:pt>
                <c:pt idx="14">
                  <c:v>33</c:v>
                </c:pt>
                <c:pt idx="15">
                  <c:v>26.5</c:v>
                </c:pt>
                <c:pt idx="16">
                  <c:v>30</c:v>
                </c:pt>
                <c:pt idx="17">
                  <c:v>25</c:v>
                </c:pt>
                <c:pt idx="18">
                  <c:v>22</c:v>
                </c:pt>
                <c:pt idx="19">
                  <c:v>16.5</c:v>
                </c:pt>
                <c:pt idx="20">
                  <c:v>14</c:v>
                </c:pt>
                <c:pt idx="21">
                  <c:v>22</c:v>
                </c:pt>
                <c:pt idx="22">
                  <c:v>14</c:v>
                </c:pt>
                <c:pt idx="23">
                  <c:v>24</c:v>
                </c:pt>
                <c:pt idx="24">
                  <c:v>34</c:v>
                </c:pt>
              </c:numCache>
            </c:numRef>
          </c:xVal>
          <c:yVal>
            <c:numRef>
              <c:f>Лист1!$AA$5:$AA$29</c:f>
              <c:numCache>
                <c:formatCode>General</c:formatCode>
                <c:ptCount val="25"/>
                <c:pt idx="0">
                  <c:v>48.979591836734691</c:v>
                </c:pt>
                <c:pt idx="1">
                  <c:v>52.760736196319016</c:v>
                </c:pt>
                <c:pt idx="2">
                  <c:v>0</c:v>
                </c:pt>
                <c:pt idx="3">
                  <c:v>12.811387900355868</c:v>
                </c:pt>
                <c:pt idx="4">
                  <c:v>4.1666666666666572</c:v>
                </c:pt>
                <c:pt idx="5">
                  <c:v>45.054945054945051</c:v>
                </c:pt>
                <c:pt idx="6">
                  <c:v>17.5</c:v>
                </c:pt>
                <c:pt idx="7">
                  <c:v>22.058823529411768</c:v>
                </c:pt>
                <c:pt idx="8">
                  <c:v>18.75</c:v>
                </c:pt>
                <c:pt idx="9">
                  <c:v>18.918918918918919</c:v>
                </c:pt>
                <c:pt idx="10">
                  <c:v>30.555555555555557</c:v>
                </c:pt>
                <c:pt idx="11">
                  <c:v>25.714285714285708</c:v>
                </c:pt>
                <c:pt idx="12">
                  <c:v>6.25</c:v>
                </c:pt>
                <c:pt idx="13">
                  <c:v>44.444444444444443</c:v>
                </c:pt>
                <c:pt idx="14">
                  <c:v>17.5</c:v>
                </c:pt>
                <c:pt idx="15">
                  <c:v>22.058823529411768</c:v>
                </c:pt>
                <c:pt idx="16">
                  <c:v>18.918918918918919</c:v>
                </c:pt>
                <c:pt idx="17">
                  <c:v>30.555555555555557</c:v>
                </c:pt>
                <c:pt idx="18">
                  <c:v>26.666666666666671</c:v>
                </c:pt>
                <c:pt idx="19">
                  <c:v>17.5</c:v>
                </c:pt>
                <c:pt idx="20">
                  <c:v>28.205128205128204</c:v>
                </c:pt>
                <c:pt idx="21">
                  <c:v>29.032258064516128</c:v>
                </c:pt>
                <c:pt idx="22">
                  <c:v>17.64705882352942</c:v>
                </c:pt>
                <c:pt idx="23">
                  <c:v>31.428571428571431</c:v>
                </c:pt>
                <c:pt idx="24">
                  <c:v>17.073170731707322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4C-4800-97C3-B7F6A3ACE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006831"/>
        <c:axId val="1990011151"/>
      </c:scatterChart>
      <c:valAx>
        <c:axId val="199000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0011151"/>
        <c:crosses val="autoZero"/>
        <c:crossBetween val="midCat"/>
      </c:valAx>
      <c:valAx>
        <c:axId val="199001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0006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571500</xdr:colOff>
      <xdr:row>12</xdr:row>
      <xdr:rowOff>213631</xdr:rowOff>
    </xdr:from>
    <xdr:to>
      <xdr:col>35</xdr:col>
      <xdr:colOff>244928</xdr:colOff>
      <xdr:row>24</xdr:row>
      <xdr:rowOff>44903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D81BF68-3876-2F3C-6D11-7DE198482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A52"/>
  <sheetViews>
    <sheetView tabSelected="1" topLeftCell="J4" zoomScaleNormal="100" workbookViewId="0">
      <selection activeCell="Z5" sqref="Z5"/>
    </sheetView>
  </sheetViews>
  <sheetFormatPr defaultRowHeight="15" x14ac:dyDescent="0.25"/>
  <cols>
    <col min="2" max="2" width="24.28515625" customWidth="1"/>
    <col min="3" max="3" width="12.28515625" customWidth="1"/>
    <col min="4" max="4" width="18.5703125" customWidth="1"/>
    <col min="5" max="5" width="16.85546875" customWidth="1"/>
  </cols>
  <sheetData>
    <row r="1" spans="1:27" ht="18.75" x14ac:dyDescent="0.25">
      <c r="A1" s="84" t="s">
        <v>15</v>
      </c>
      <c r="B1" s="84"/>
      <c r="C1" s="84"/>
      <c r="D1" s="84"/>
      <c r="E1" s="84"/>
      <c r="F1" s="84"/>
    </row>
    <row r="2" spans="1:27" ht="19.5" thickBot="1" x14ac:dyDescent="0.35">
      <c r="A2" s="64">
        <v>46009</v>
      </c>
      <c r="B2" s="64"/>
      <c r="C2" s="64"/>
      <c r="D2" s="64"/>
      <c r="E2" s="64"/>
      <c r="F2" s="64"/>
    </row>
    <row r="3" spans="1:27" ht="19.5" thickBot="1" x14ac:dyDescent="0.35">
      <c r="A3" s="81">
        <v>1</v>
      </c>
      <c r="B3" s="22" t="s">
        <v>7</v>
      </c>
      <c r="C3" s="23" t="s">
        <v>0</v>
      </c>
      <c r="D3" s="24" t="s">
        <v>1</v>
      </c>
      <c r="E3" s="25" t="s">
        <v>2</v>
      </c>
      <c r="F3" s="26" t="s">
        <v>3</v>
      </c>
      <c r="H3" s="27"/>
      <c r="I3" s="28"/>
      <c r="J3" s="1"/>
      <c r="K3" s="27"/>
      <c r="L3" s="29"/>
    </row>
    <row r="4" spans="1:27" ht="18.75" x14ac:dyDescent="0.3">
      <c r="A4" s="82"/>
      <c r="B4" s="74" t="s">
        <v>14</v>
      </c>
      <c r="C4" s="77">
        <v>1.6963078703703702E-2</v>
      </c>
      <c r="D4" s="9">
        <v>1.0232638888888888E-2</v>
      </c>
      <c r="E4" s="78">
        <v>2.3518518518518518E-2</v>
      </c>
      <c r="F4" s="79">
        <v>0.35</v>
      </c>
      <c r="I4" s="32"/>
      <c r="J4" s="30"/>
      <c r="K4" s="31"/>
      <c r="P4" s="2" t="s">
        <v>8</v>
      </c>
      <c r="Q4" s="3" t="s">
        <v>0</v>
      </c>
      <c r="R4" s="4" t="s">
        <v>1</v>
      </c>
      <c r="S4" s="2" t="s">
        <v>2</v>
      </c>
      <c r="T4" s="5" t="s">
        <v>3</v>
      </c>
    </row>
    <row r="5" spans="1:27" ht="18.75" x14ac:dyDescent="0.25">
      <c r="A5" s="82"/>
      <c r="B5" s="75"/>
      <c r="C5" s="66"/>
      <c r="D5" s="7">
        <v>5.8113425925925928E-3</v>
      </c>
      <c r="E5" s="69"/>
      <c r="F5" s="72"/>
      <c r="I5" s="32"/>
      <c r="J5" s="30"/>
      <c r="K5" s="31"/>
      <c r="P5" s="98"/>
      <c r="Q5" s="101"/>
      <c r="R5" s="7"/>
      <c r="S5" s="103"/>
      <c r="T5" s="105"/>
      <c r="Y5">
        <v>7.5</v>
      </c>
      <c r="Z5">
        <v>14.7</v>
      </c>
      <c r="AA5">
        <f>100-((Y5/Z5*100))</f>
        <v>48.979591836734691</v>
      </c>
    </row>
    <row r="6" spans="1:27" ht="18.75" x14ac:dyDescent="0.25">
      <c r="A6" s="82"/>
      <c r="B6" s="75"/>
      <c r="C6" s="66"/>
      <c r="D6" s="7">
        <v>4.8391203703703704E-3</v>
      </c>
      <c r="E6" s="69"/>
      <c r="F6" s="72"/>
      <c r="I6" s="12"/>
      <c r="P6" s="99"/>
      <c r="Q6" s="102"/>
      <c r="R6" s="7"/>
      <c r="S6" s="104"/>
      <c r="T6" s="106"/>
      <c r="Y6">
        <v>7.7</v>
      </c>
      <c r="Z6">
        <v>16.3</v>
      </c>
      <c r="AA6">
        <f t="shared" ref="AA6:AA29" si="0">100-((Y6/Z6*100))</f>
        <v>52.760736196319016</v>
      </c>
    </row>
    <row r="7" spans="1:27" ht="18.75" x14ac:dyDescent="0.25">
      <c r="A7" s="82"/>
      <c r="B7" s="75"/>
      <c r="C7" s="66"/>
      <c r="D7" s="7">
        <v>5.0243055555555562E-3</v>
      </c>
      <c r="E7" s="69"/>
      <c r="F7" s="72"/>
      <c r="P7" s="99"/>
      <c r="Q7" s="102"/>
      <c r="R7" s="7"/>
      <c r="S7" s="104"/>
      <c r="T7" s="106"/>
      <c r="Y7">
        <v>8</v>
      </c>
      <c r="Z7">
        <v>8</v>
      </c>
      <c r="AA7">
        <f t="shared" si="0"/>
        <v>0</v>
      </c>
    </row>
    <row r="8" spans="1:27" ht="19.5" thickBot="1" x14ac:dyDescent="0.3">
      <c r="A8" s="83"/>
      <c r="B8" s="76"/>
      <c r="C8" s="67"/>
      <c r="D8" s="16">
        <v>4.8506944444444448E-3</v>
      </c>
      <c r="E8" s="70"/>
      <c r="F8" s="73"/>
      <c r="P8" s="99"/>
      <c r="Q8" s="102"/>
      <c r="R8" s="7"/>
      <c r="S8" s="104"/>
      <c r="T8" s="106"/>
      <c r="Y8">
        <v>24.5</v>
      </c>
      <c r="Z8">
        <v>28.1</v>
      </c>
      <c r="AA8">
        <f t="shared" si="0"/>
        <v>12.811387900355868</v>
      </c>
    </row>
    <row r="9" spans="1:27" ht="19.5" thickBot="1" x14ac:dyDescent="0.35">
      <c r="B9" s="6"/>
      <c r="C9" s="6"/>
      <c r="D9" s="6"/>
      <c r="E9" s="8"/>
      <c r="F9" s="6"/>
      <c r="P9" s="100"/>
      <c r="Q9" s="77"/>
      <c r="R9" s="7"/>
      <c r="S9" s="78"/>
      <c r="T9" s="107"/>
      <c r="Y9">
        <v>23</v>
      </c>
      <c r="Z9">
        <v>24</v>
      </c>
      <c r="AA9">
        <f t="shared" si="0"/>
        <v>4.1666666666666572</v>
      </c>
    </row>
    <row r="10" spans="1:27" ht="19.5" thickBot="1" x14ac:dyDescent="0.35">
      <c r="A10" s="81">
        <v>2</v>
      </c>
      <c r="B10" s="17" t="s">
        <v>8</v>
      </c>
      <c r="C10" s="18" t="s">
        <v>0</v>
      </c>
      <c r="D10" s="19" t="s">
        <v>1</v>
      </c>
      <c r="E10" s="20" t="s">
        <v>2</v>
      </c>
      <c r="F10" s="21" t="s">
        <v>3</v>
      </c>
      <c r="N10" s="33" t="s">
        <v>4</v>
      </c>
      <c r="O10" s="34"/>
      <c r="P10" s="10"/>
      <c r="Y10">
        <v>25</v>
      </c>
      <c r="Z10">
        <v>45.5</v>
      </c>
      <c r="AA10">
        <f t="shared" si="0"/>
        <v>45.054945054945051</v>
      </c>
    </row>
    <row r="11" spans="1:27" ht="18" customHeight="1" x14ac:dyDescent="0.3">
      <c r="A11" s="82"/>
      <c r="B11" s="80" t="s">
        <v>13</v>
      </c>
      <c r="C11" s="65">
        <v>1.21875E-2</v>
      </c>
      <c r="D11" s="15">
        <v>1.1273148148148148E-2</v>
      </c>
      <c r="E11" s="68">
        <v>1.3540162037037036E-2</v>
      </c>
      <c r="F11" s="71">
        <v>0.5</v>
      </c>
      <c r="M11" s="42"/>
      <c r="N11" s="42">
        <v>1702.5408744401875</v>
      </c>
      <c r="O11" s="35">
        <f>N11/24/60/60</f>
        <v>1.9705334194909576E-2</v>
      </c>
      <c r="P11" s="10"/>
      <c r="Y11">
        <v>33</v>
      </c>
      <c r="Z11">
        <v>40</v>
      </c>
      <c r="AA11">
        <f t="shared" si="0"/>
        <v>17.5</v>
      </c>
    </row>
    <row r="12" spans="1:27" ht="19.5" thickBot="1" x14ac:dyDescent="0.35">
      <c r="A12" s="83"/>
      <c r="B12" s="76"/>
      <c r="C12" s="67"/>
      <c r="D12" s="16">
        <v>5.3009259259259259E-3</v>
      </c>
      <c r="E12" s="70"/>
      <c r="F12" s="73"/>
      <c r="M12" s="42">
        <v>1702.5408744401875</v>
      </c>
      <c r="N12" s="6"/>
      <c r="O12" s="6"/>
      <c r="P12" s="10"/>
      <c r="Y12">
        <v>26.5</v>
      </c>
      <c r="Z12">
        <v>34</v>
      </c>
      <c r="AA12">
        <f t="shared" si="0"/>
        <v>22.058823529411768</v>
      </c>
    </row>
    <row r="13" spans="1:27" ht="19.5" thickBot="1" x14ac:dyDescent="0.35">
      <c r="A13" s="61">
        <v>46017</v>
      </c>
      <c r="B13" s="61"/>
      <c r="C13" s="61"/>
      <c r="D13" s="61"/>
      <c r="E13" s="61"/>
      <c r="F13" s="61"/>
      <c r="L13" s="6"/>
      <c r="M13" s="6"/>
      <c r="N13" s="10"/>
      <c r="Y13">
        <v>26</v>
      </c>
      <c r="Z13">
        <v>32</v>
      </c>
      <c r="AA13">
        <f t="shared" si="0"/>
        <v>18.75</v>
      </c>
    </row>
    <row r="14" spans="1:27" ht="19.5" thickBot="1" x14ac:dyDescent="0.35">
      <c r="A14" s="81">
        <v>3</v>
      </c>
      <c r="B14" s="40" t="s">
        <v>8</v>
      </c>
      <c r="C14" s="45" t="s">
        <v>0</v>
      </c>
      <c r="D14" s="39" t="s">
        <v>1</v>
      </c>
      <c r="E14" s="43" t="s">
        <v>2</v>
      </c>
      <c r="F14" s="26" t="s">
        <v>3</v>
      </c>
      <c r="N14" s="6"/>
      <c r="O14" s="6"/>
      <c r="P14" s="10"/>
      <c r="Y14">
        <v>30</v>
      </c>
      <c r="Z14">
        <v>37</v>
      </c>
      <c r="AA14">
        <f t="shared" si="0"/>
        <v>18.918918918918919</v>
      </c>
    </row>
    <row r="15" spans="1:27" ht="18" customHeight="1" x14ac:dyDescent="0.3">
      <c r="A15" s="82"/>
      <c r="B15" s="95" t="s">
        <v>12</v>
      </c>
      <c r="C15" s="65">
        <v>2.3357870370370366E-2</v>
      </c>
      <c r="D15" s="48">
        <v>5.5092592592592589E-3</v>
      </c>
      <c r="E15" s="68">
        <v>2.1863425925925925E-2</v>
      </c>
      <c r="F15" s="71">
        <v>0.3</v>
      </c>
      <c r="N15" s="6"/>
      <c r="O15" s="6"/>
      <c r="P15" s="10"/>
      <c r="Y15">
        <v>25</v>
      </c>
      <c r="Z15">
        <v>36</v>
      </c>
      <c r="AA15">
        <f t="shared" si="0"/>
        <v>30.555555555555557</v>
      </c>
    </row>
    <row r="16" spans="1:27" ht="18" customHeight="1" x14ac:dyDescent="0.3">
      <c r="A16" s="82"/>
      <c r="B16" s="96"/>
      <c r="C16" s="66"/>
      <c r="D16" s="46">
        <v>5.7754629629629631E-3</v>
      </c>
      <c r="E16" s="69"/>
      <c r="F16" s="72"/>
      <c r="G16" s="11"/>
      <c r="N16" s="6"/>
      <c r="O16" s="6"/>
      <c r="P16" s="10"/>
      <c r="Y16">
        <v>26</v>
      </c>
      <c r="Z16">
        <v>35</v>
      </c>
      <c r="AA16">
        <f t="shared" si="0"/>
        <v>25.714285714285708</v>
      </c>
    </row>
    <row r="17" spans="1:27" ht="19.5" thickBot="1" x14ac:dyDescent="0.35">
      <c r="A17" s="83"/>
      <c r="B17" s="97"/>
      <c r="C17" s="67"/>
      <c r="D17" s="49">
        <v>5.5208333333333333E-3</v>
      </c>
      <c r="E17" s="70"/>
      <c r="F17" s="73"/>
      <c r="N17" s="36" t="s">
        <v>5</v>
      </c>
      <c r="O17" s="6" t="s">
        <v>6</v>
      </c>
      <c r="P17" s="10"/>
      <c r="Y17">
        <v>22.5</v>
      </c>
      <c r="Z17">
        <v>24</v>
      </c>
      <c r="AA17">
        <f t="shared" si="0"/>
        <v>6.25</v>
      </c>
    </row>
    <row r="18" spans="1:27" ht="19.5" thickBot="1" x14ac:dyDescent="0.35">
      <c r="B18" s="6"/>
      <c r="C18" s="6"/>
      <c r="D18" s="6"/>
      <c r="E18" s="6"/>
      <c r="F18" s="6"/>
      <c r="N18" s="14">
        <v>1.0925925925925926E-2</v>
      </c>
      <c r="O18" s="37">
        <f>N18/10</f>
        <v>1.0925925925925925E-3</v>
      </c>
      <c r="P18" s="10"/>
      <c r="Y18">
        <v>25</v>
      </c>
      <c r="Z18">
        <v>45</v>
      </c>
      <c r="AA18">
        <f t="shared" si="0"/>
        <v>44.444444444444443</v>
      </c>
    </row>
    <row r="19" spans="1:27" ht="19.5" thickBot="1" x14ac:dyDescent="0.35">
      <c r="A19" s="81">
        <v>4</v>
      </c>
      <c r="B19" s="44" t="s">
        <v>8</v>
      </c>
      <c r="C19" s="51" t="s">
        <v>0</v>
      </c>
      <c r="D19" s="41" t="s">
        <v>1</v>
      </c>
      <c r="E19" s="44" t="s">
        <v>2</v>
      </c>
      <c r="F19" s="47" t="s">
        <v>3</v>
      </c>
      <c r="N19" s="13">
        <v>2.3993055555555556E-2</v>
      </c>
      <c r="O19" s="8">
        <f>N19+$O$18</f>
        <v>2.5085648148148149E-2</v>
      </c>
      <c r="P19" s="10"/>
      <c r="Y19">
        <v>33</v>
      </c>
      <c r="Z19">
        <v>40</v>
      </c>
      <c r="AA19">
        <f t="shared" si="0"/>
        <v>17.5</v>
      </c>
    </row>
    <row r="20" spans="1:27" ht="19.5" thickBot="1" x14ac:dyDescent="0.35">
      <c r="A20" s="109"/>
      <c r="B20" s="95" t="s">
        <v>11</v>
      </c>
      <c r="C20" s="65">
        <v>2.7384490740740737E-2</v>
      </c>
      <c r="D20" s="48">
        <v>1.9560185185185184E-2</v>
      </c>
      <c r="E20" s="68">
        <v>2.9238974178589023E-2</v>
      </c>
      <c r="F20" s="71">
        <v>0.7</v>
      </c>
      <c r="K20" s="14"/>
      <c r="N20" s="13">
        <v>1.6284722222222221E-2</v>
      </c>
      <c r="O20" s="8">
        <f t="shared" ref="O20:O28" si="1">N20+$O$18</f>
        <v>1.7377314814814814E-2</v>
      </c>
      <c r="P20" s="10"/>
      <c r="Y20">
        <v>26.5</v>
      </c>
      <c r="Z20">
        <v>34</v>
      </c>
      <c r="AA20">
        <f t="shared" si="0"/>
        <v>22.058823529411768</v>
      </c>
    </row>
    <row r="21" spans="1:27" ht="19.5" thickBot="1" x14ac:dyDescent="0.35">
      <c r="A21" s="110"/>
      <c r="B21" s="97"/>
      <c r="C21" s="67"/>
      <c r="D21" s="49">
        <v>1.6944444444444443E-2</v>
      </c>
      <c r="E21" s="70"/>
      <c r="F21" s="73"/>
      <c r="G21" s="11">
        <f>E20*F20</f>
        <v>2.0467281925012314E-2</v>
      </c>
      <c r="N21" s="13">
        <v>1.712962962962963E-2</v>
      </c>
      <c r="O21" s="8">
        <f t="shared" si="1"/>
        <v>1.8222222222222223E-2</v>
      </c>
      <c r="P21" s="8"/>
      <c r="Y21">
        <v>30</v>
      </c>
      <c r="Z21">
        <v>37</v>
      </c>
      <c r="AA21">
        <f t="shared" si="0"/>
        <v>18.918918918918919</v>
      </c>
    </row>
    <row r="22" spans="1:27" ht="19.5" thickBot="1" x14ac:dyDescent="0.35">
      <c r="A22" s="63">
        <v>46020</v>
      </c>
      <c r="B22" s="63"/>
      <c r="C22" s="63"/>
      <c r="D22" s="63"/>
      <c r="E22" s="63"/>
      <c r="F22" s="63"/>
      <c r="G22" s="11"/>
      <c r="N22" s="13"/>
      <c r="O22" s="8"/>
      <c r="P22" s="8"/>
      <c r="Y22">
        <v>25</v>
      </c>
      <c r="Z22">
        <v>36</v>
      </c>
      <c r="AA22">
        <f t="shared" si="0"/>
        <v>30.555555555555557</v>
      </c>
    </row>
    <row r="23" spans="1:27" ht="19.5" thickBot="1" x14ac:dyDescent="0.35">
      <c r="A23" s="81">
        <v>5</v>
      </c>
      <c r="B23" s="54" t="s">
        <v>8</v>
      </c>
      <c r="C23" s="52" t="s">
        <v>0</v>
      </c>
      <c r="D23" s="39" t="s">
        <v>1</v>
      </c>
      <c r="E23" s="53" t="s">
        <v>2</v>
      </c>
      <c r="F23" s="47" t="s">
        <v>3</v>
      </c>
      <c r="G23" s="11"/>
      <c r="M23" s="13"/>
      <c r="N23" s="8"/>
      <c r="O23" s="8"/>
      <c r="Y23">
        <v>22</v>
      </c>
      <c r="Z23">
        <v>30</v>
      </c>
      <c r="AA23">
        <f t="shared" si="0"/>
        <v>26.666666666666671</v>
      </c>
    </row>
    <row r="24" spans="1:27" ht="19.5" thickBot="1" x14ac:dyDescent="0.35">
      <c r="A24" s="82"/>
      <c r="B24" s="80" t="s">
        <v>10</v>
      </c>
      <c r="C24" s="65">
        <v>2.7909953703703704E-2</v>
      </c>
      <c r="D24" s="55">
        <v>1.6620370370370369E-2</v>
      </c>
      <c r="E24" s="68">
        <v>2.9696635929084336E-2</v>
      </c>
      <c r="F24" s="93">
        <v>0.8</v>
      </c>
      <c r="G24" s="11"/>
      <c r="N24" s="13"/>
      <c r="O24" s="8"/>
      <c r="P24" s="8"/>
      <c r="Y24">
        <v>16.5</v>
      </c>
      <c r="Z24">
        <v>20</v>
      </c>
      <c r="AA24">
        <f t="shared" si="0"/>
        <v>17.5</v>
      </c>
    </row>
    <row r="25" spans="1:27" ht="19.5" thickBot="1" x14ac:dyDescent="0.35">
      <c r="A25" s="83"/>
      <c r="B25" s="76"/>
      <c r="C25" s="67"/>
      <c r="D25" s="56">
        <v>1.5671296296296298E-2</v>
      </c>
      <c r="E25" s="70"/>
      <c r="F25" s="94"/>
      <c r="G25" s="11">
        <f>E24*F24</f>
        <v>2.375730874326747E-2</v>
      </c>
      <c r="N25" s="13"/>
      <c r="O25" s="8"/>
      <c r="P25" s="8"/>
      <c r="Y25">
        <v>14</v>
      </c>
      <c r="Z25">
        <v>19.5</v>
      </c>
      <c r="AA25">
        <f t="shared" si="0"/>
        <v>28.205128205128204</v>
      </c>
    </row>
    <row r="26" spans="1:27" ht="19.5" thickBot="1" x14ac:dyDescent="0.35">
      <c r="A26" s="61">
        <v>46021</v>
      </c>
      <c r="B26" s="62"/>
      <c r="C26" s="62"/>
      <c r="D26" s="62"/>
      <c r="E26" s="62"/>
      <c r="F26" s="62"/>
      <c r="I26" s="12"/>
      <c r="N26" s="13">
        <v>1.7152777777777777E-2</v>
      </c>
      <c r="O26" s="8">
        <f t="shared" si="1"/>
        <v>1.824537037037037E-2</v>
      </c>
      <c r="P26" s="6"/>
      <c r="Y26">
        <v>22</v>
      </c>
      <c r="Z26">
        <v>31</v>
      </c>
      <c r="AA26">
        <f t="shared" si="0"/>
        <v>29.032258064516128</v>
      </c>
    </row>
    <row r="27" spans="1:27" ht="18.600000000000001" customHeight="1" thickBot="1" x14ac:dyDescent="0.35">
      <c r="A27" s="81">
        <v>6</v>
      </c>
      <c r="B27" s="50" t="s">
        <v>8</v>
      </c>
      <c r="C27" s="51" t="s">
        <v>0</v>
      </c>
      <c r="D27" s="41" t="s">
        <v>1</v>
      </c>
      <c r="E27" s="44" t="s">
        <v>2</v>
      </c>
      <c r="F27" s="47" t="s">
        <v>3</v>
      </c>
      <c r="N27" s="13">
        <v>1.6319444444444445E-2</v>
      </c>
      <c r="O27" s="8">
        <f t="shared" si="1"/>
        <v>1.7412037037037038E-2</v>
      </c>
      <c r="P27" s="8"/>
      <c r="Y27">
        <v>14</v>
      </c>
      <c r="Z27">
        <v>17</v>
      </c>
      <c r="AA27">
        <f t="shared" si="0"/>
        <v>17.64705882352942</v>
      </c>
    </row>
    <row r="28" spans="1:27" ht="19.5" thickBot="1" x14ac:dyDescent="0.35">
      <c r="A28" s="82"/>
      <c r="B28" s="113" t="s">
        <v>9</v>
      </c>
      <c r="C28" s="115"/>
      <c r="D28" s="48">
        <v>3.1578703703703706E-2</v>
      </c>
      <c r="E28" s="111">
        <v>1.4307205861402298E-2</v>
      </c>
      <c r="F28" s="93">
        <v>1.1000000000000001</v>
      </c>
      <c r="N28" s="38">
        <v>1.0937499999999999E-2</v>
      </c>
      <c r="O28" s="8">
        <f t="shared" si="1"/>
        <v>1.2030092592592592E-2</v>
      </c>
      <c r="P28" s="8"/>
      <c r="Y28">
        <v>24</v>
      </c>
      <c r="Z28">
        <v>35</v>
      </c>
      <c r="AA28">
        <f t="shared" si="0"/>
        <v>31.428571428571431</v>
      </c>
    </row>
    <row r="29" spans="1:27" ht="19.5" thickBot="1" x14ac:dyDescent="0.35">
      <c r="A29" s="83"/>
      <c r="B29" s="114"/>
      <c r="C29" s="116"/>
      <c r="D29" s="49">
        <v>1.7203703703703704E-2</v>
      </c>
      <c r="E29" s="112"/>
      <c r="F29" s="94"/>
      <c r="G29" s="11">
        <f>E28*F28</f>
        <v>1.573792644754253E-2</v>
      </c>
      <c r="N29" s="6"/>
      <c r="O29" s="6"/>
      <c r="P29" s="6"/>
      <c r="Y29">
        <v>34</v>
      </c>
      <c r="Z29">
        <v>41</v>
      </c>
      <c r="AA29">
        <f t="shared" si="0"/>
        <v>17.073170731707322</v>
      </c>
    </row>
    <row r="30" spans="1:27" ht="19.5" thickBot="1" x14ac:dyDescent="0.35">
      <c r="A30" s="61">
        <v>45668</v>
      </c>
      <c r="B30" s="61"/>
      <c r="C30" s="61"/>
      <c r="D30" s="61"/>
      <c r="E30" s="61"/>
      <c r="F30" s="61"/>
      <c r="H30" s="8"/>
      <c r="I30" s="6"/>
      <c r="J30" s="6"/>
    </row>
    <row r="31" spans="1:27" ht="19.5" thickBot="1" x14ac:dyDescent="0.35">
      <c r="A31" s="81">
        <v>7</v>
      </c>
      <c r="B31" s="44" t="s">
        <v>8</v>
      </c>
      <c r="C31" s="51" t="s">
        <v>0</v>
      </c>
      <c r="D31" s="41" t="s">
        <v>1</v>
      </c>
      <c r="E31" s="44" t="s">
        <v>2</v>
      </c>
      <c r="F31" s="47" t="s">
        <v>3</v>
      </c>
    </row>
    <row r="32" spans="1:27" ht="18" customHeight="1" x14ac:dyDescent="0.25">
      <c r="A32" s="82"/>
      <c r="B32" s="85" t="s">
        <v>16</v>
      </c>
      <c r="C32" s="87">
        <v>1.2252662037037039E-2</v>
      </c>
      <c r="D32" s="55">
        <v>2.7881944444444445E-2</v>
      </c>
      <c r="E32" s="89">
        <v>1.3634259259259259E-2</v>
      </c>
      <c r="F32" s="91">
        <v>1.05</v>
      </c>
      <c r="H32" s="12"/>
    </row>
    <row r="33" spans="1:18" ht="19.5" thickBot="1" x14ac:dyDescent="0.35">
      <c r="A33" s="83"/>
      <c r="B33" s="86"/>
      <c r="C33" s="88"/>
      <c r="D33" s="56">
        <v>2.3078703703703702E-2</v>
      </c>
      <c r="E33" s="90"/>
      <c r="F33" s="92"/>
      <c r="G33" s="11">
        <f>E32*F32</f>
        <v>1.4315972222222223E-2</v>
      </c>
      <c r="I33" s="12"/>
      <c r="N33" s="2" t="s">
        <v>8</v>
      </c>
      <c r="O33" s="3" t="s">
        <v>0</v>
      </c>
      <c r="P33" s="4" t="s">
        <v>1</v>
      </c>
      <c r="Q33" s="2" t="s">
        <v>2</v>
      </c>
      <c r="R33" s="5" t="s">
        <v>3</v>
      </c>
    </row>
    <row r="34" spans="1:18" ht="19.5" thickBot="1" x14ac:dyDescent="0.3">
      <c r="I34" s="12"/>
      <c r="N34" s="98"/>
      <c r="O34" s="101"/>
      <c r="P34" s="7"/>
      <c r="Q34" s="103"/>
      <c r="R34" s="108"/>
    </row>
    <row r="35" spans="1:18" ht="19.5" thickBot="1" x14ac:dyDescent="0.35">
      <c r="A35" s="81">
        <v>8</v>
      </c>
      <c r="B35" s="44" t="s">
        <v>8</v>
      </c>
      <c r="C35" s="51" t="s">
        <v>0</v>
      </c>
      <c r="D35" s="41" t="s">
        <v>1</v>
      </c>
      <c r="E35" s="44" t="s">
        <v>2</v>
      </c>
      <c r="F35" s="47" t="s">
        <v>3</v>
      </c>
      <c r="H35" s="12"/>
      <c r="N35" s="99"/>
      <c r="O35" s="102"/>
      <c r="P35" s="7"/>
      <c r="Q35" s="104"/>
      <c r="R35" s="108"/>
    </row>
    <row r="36" spans="1:18" ht="18.75" x14ac:dyDescent="0.25">
      <c r="A36" s="82"/>
      <c r="B36" s="85" t="s">
        <v>17</v>
      </c>
      <c r="C36" s="117">
        <v>1.5998842592592592E-2</v>
      </c>
      <c r="D36" s="59">
        <v>2.3629629629629629E-2</v>
      </c>
      <c r="E36" s="119">
        <v>1.681712962962963E-2</v>
      </c>
      <c r="F36" s="91">
        <v>0.98</v>
      </c>
    </row>
    <row r="37" spans="1:18" ht="19.5" thickBot="1" x14ac:dyDescent="0.3">
      <c r="A37" s="83"/>
      <c r="B37" s="86"/>
      <c r="C37" s="118"/>
      <c r="D37" s="60">
        <v>1.8479166666666668E-2</v>
      </c>
      <c r="E37" s="120"/>
      <c r="F37" s="92"/>
      <c r="G37" s="11">
        <f>E36*F36</f>
        <v>1.6480787037037037E-2</v>
      </c>
    </row>
    <row r="38" spans="1:18" ht="15.75" thickBot="1" x14ac:dyDescent="0.3"/>
    <row r="39" spans="1:18" ht="19.5" thickBot="1" x14ac:dyDescent="0.35">
      <c r="A39" s="81">
        <v>9</v>
      </c>
      <c r="B39" s="44" t="s">
        <v>8</v>
      </c>
      <c r="C39" s="51" t="s">
        <v>0</v>
      </c>
      <c r="D39" s="41" t="s">
        <v>1</v>
      </c>
      <c r="E39" s="44" t="s">
        <v>2</v>
      </c>
      <c r="F39" s="47" t="s">
        <v>3</v>
      </c>
    </row>
    <row r="40" spans="1:18" ht="18.75" x14ac:dyDescent="0.25">
      <c r="A40" s="82"/>
      <c r="B40" s="85" t="s">
        <v>18</v>
      </c>
      <c r="C40" s="117">
        <v>1.6654166666666668E-2</v>
      </c>
      <c r="D40" s="59">
        <v>2.2035879629629631E-2</v>
      </c>
      <c r="E40" s="119">
        <v>1.9705334194909576E-2</v>
      </c>
      <c r="F40" s="91">
        <v>0.96</v>
      </c>
    </row>
    <row r="41" spans="1:18" ht="19.5" thickBot="1" x14ac:dyDescent="0.3">
      <c r="A41" s="83"/>
      <c r="B41" s="86"/>
      <c r="C41" s="118"/>
      <c r="D41" s="60">
        <v>1.8100694444444444E-2</v>
      </c>
      <c r="E41" s="120"/>
      <c r="F41" s="92"/>
      <c r="G41" s="11">
        <f>E40*F40</f>
        <v>1.8917120827113193E-2</v>
      </c>
    </row>
    <row r="42" spans="1:18" ht="15.75" thickBot="1" x14ac:dyDescent="0.3">
      <c r="H42" s="12"/>
    </row>
    <row r="43" spans="1:18" ht="19.5" thickBot="1" x14ac:dyDescent="0.35">
      <c r="A43" s="122">
        <v>10</v>
      </c>
      <c r="B43" s="44" t="s">
        <v>8</v>
      </c>
      <c r="C43" s="51" t="s">
        <v>0</v>
      </c>
      <c r="D43" s="41" t="s">
        <v>1</v>
      </c>
      <c r="E43" s="44" t="s">
        <v>2</v>
      </c>
      <c r="F43" s="47" t="s">
        <v>3</v>
      </c>
      <c r="G43" s="121" t="s">
        <v>20</v>
      </c>
      <c r="H43" t="s">
        <v>21</v>
      </c>
    </row>
    <row r="44" spans="1:18" ht="18.75" x14ac:dyDescent="0.25">
      <c r="A44" s="123"/>
      <c r="B44" s="85" t="s">
        <v>19</v>
      </c>
      <c r="C44" s="117">
        <v>2.8353819444444445E-2</v>
      </c>
      <c r="D44" s="59">
        <v>2.5787037037037035E-2</v>
      </c>
      <c r="E44" s="119">
        <v>2.5615743666193458E-2</v>
      </c>
      <c r="F44" s="91">
        <v>0.97</v>
      </c>
      <c r="G44" s="121"/>
    </row>
    <row r="45" spans="1:18" ht="19.5" thickBot="1" x14ac:dyDescent="0.3">
      <c r="A45" s="124"/>
      <c r="B45" s="86"/>
      <c r="C45" s="118"/>
      <c r="D45" s="60">
        <v>2.105324074074074E-2</v>
      </c>
      <c r="E45" s="120"/>
      <c r="F45" s="92"/>
      <c r="G45" s="11">
        <f>E44*F44</f>
        <v>2.4847271356207654E-2</v>
      </c>
    </row>
    <row r="46" spans="1:18" ht="15.75" thickBot="1" x14ac:dyDescent="0.3">
      <c r="H46" s="12"/>
    </row>
    <row r="47" spans="1:18" ht="19.5" thickBot="1" x14ac:dyDescent="0.35">
      <c r="A47" s="81">
        <v>11</v>
      </c>
      <c r="B47" s="44" t="s">
        <v>8</v>
      </c>
      <c r="C47" s="51" t="s">
        <v>0</v>
      </c>
      <c r="D47" s="41" t="s">
        <v>1</v>
      </c>
      <c r="E47" s="44" t="s">
        <v>2</v>
      </c>
      <c r="F47" s="47" t="s">
        <v>3</v>
      </c>
    </row>
    <row r="48" spans="1:18" ht="18.75" x14ac:dyDescent="0.25">
      <c r="A48" s="82"/>
      <c r="B48" s="85" t="s">
        <v>22</v>
      </c>
      <c r="C48" s="117">
        <v>1.4944560185185187E-2</v>
      </c>
      <c r="D48" s="57">
        <v>2.5085648148148149E-2</v>
      </c>
      <c r="E48" s="119">
        <v>1.5949074074074074E-2</v>
      </c>
      <c r="F48" s="91">
        <v>1.1499999999999999</v>
      </c>
    </row>
    <row r="49" spans="1:8" ht="19.5" thickBot="1" x14ac:dyDescent="0.3">
      <c r="A49" s="83"/>
      <c r="B49" s="86"/>
      <c r="C49" s="118"/>
      <c r="D49" s="58">
        <v>1.7377314814814814E-2</v>
      </c>
      <c r="E49" s="120"/>
      <c r="F49" s="92"/>
      <c r="G49" s="11">
        <f>E48*F48</f>
        <v>1.8341435185185183E-2</v>
      </c>
    </row>
    <row r="50" spans="1:8" x14ac:dyDescent="0.25">
      <c r="H50" s="12"/>
    </row>
    <row r="51" spans="1:8" x14ac:dyDescent="0.25">
      <c r="H51" s="12"/>
    </row>
    <row r="52" spans="1:8" x14ac:dyDescent="0.25">
      <c r="E52" s="12"/>
    </row>
  </sheetData>
  <mergeCells count="70">
    <mergeCell ref="G43:G44"/>
    <mergeCell ref="A47:A49"/>
    <mergeCell ref="B48:B49"/>
    <mergeCell ref="C48:C49"/>
    <mergeCell ref="E48:E49"/>
    <mergeCell ref="F48:F49"/>
    <mergeCell ref="A43:A45"/>
    <mergeCell ref="B44:B45"/>
    <mergeCell ref="C44:C45"/>
    <mergeCell ref="E44:E45"/>
    <mergeCell ref="F44:F45"/>
    <mergeCell ref="B40:B41"/>
    <mergeCell ref="C40:C41"/>
    <mergeCell ref="E40:E41"/>
    <mergeCell ref="F40:F41"/>
    <mergeCell ref="A39:A41"/>
    <mergeCell ref="A35:A37"/>
    <mergeCell ref="B36:B37"/>
    <mergeCell ref="C36:C37"/>
    <mergeCell ref="E36:E37"/>
    <mergeCell ref="F36:F37"/>
    <mergeCell ref="A10:A12"/>
    <mergeCell ref="A19:A21"/>
    <mergeCell ref="A14:A17"/>
    <mergeCell ref="B20:B21"/>
    <mergeCell ref="F28:F29"/>
    <mergeCell ref="E28:E29"/>
    <mergeCell ref="A27:A29"/>
    <mergeCell ref="B28:B29"/>
    <mergeCell ref="C28:C29"/>
    <mergeCell ref="P5:P9"/>
    <mergeCell ref="Q5:Q9"/>
    <mergeCell ref="S5:S9"/>
    <mergeCell ref="T5:T9"/>
    <mergeCell ref="N34:N35"/>
    <mergeCell ref="O34:O35"/>
    <mergeCell ref="Q34:Q35"/>
    <mergeCell ref="R34:R35"/>
    <mergeCell ref="A1:F1"/>
    <mergeCell ref="A31:A33"/>
    <mergeCell ref="B32:B33"/>
    <mergeCell ref="C32:C33"/>
    <mergeCell ref="E32:E33"/>
    <mergeCell ref="F32:F33"/>
    <mergeCell ref="A23:A25"/>
    <mergeCell ref="B24:B25"/>
    <mergeCell ref="C24:C25"/>
    <mergeCell ref="E24:E25"/>
    <mergeCell ref="F24:F25"/>
    <mergeCell ref="C11:C12"/>
    <mergeCell ref="C20:C21"/>
    <mergeCell ref="E20:E21"/>
    <mergeCell ref="F20:F21"/>
    <mergeCell ref="B15:B17"/>
    <mergeCell ref="A30:F30"/>
    <mergeCell ref="A26:F26"/>
    <mergeCell ref="A22:F22"/>
    <mergeCell ref="A13:F13"/>
    <mergeCell ref="A2:F2"/>
    <mergeCell ref="C15:C17"/>
    <mergeCell ref="E15:E17"/>
    <mergeCell ref="F15:F17"/>
    <mergeCell ref="E11:E12"/>
    <mergeCell ref="F11:F12"/>
    <mergeCell ref="B4:B8"/>
    <mergeCell ref="C4:C8"/>
    <mergeCell ref="E4:E8"/>
    <mergeCell ref="F4:F8"/>
    <mergeCell ref="B11:B12"/>
    <mergeCell ref="A3:A8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Гожко Николай Алексеевич</dc:creator>
  <cp:lastModifiedBy>Леонид Викторович Клименко</cp:lastModifiedBy>
  <dcterms:created xsi:type="dcterms:W3CDTF">2015-06-05T18:19:34Z</dcterms:created>
  <dcterms:modified xsi:type="dcterms:W3CDTF">2026-03-18T13:46:03Z</dcterms:modified>
</cp:coreProperties>
</file>
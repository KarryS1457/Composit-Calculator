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клименко лв\Desktop\Калькулятор точения\Новая папка\"/>
    </mc:Choice>
  </mc:AlternateContent>
  <xr:revisionPtr revIDLastSave="0" documentId="13_ncr:1_{D551503F-666D-4C60-95F2-54C476AB6D9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Сборка" sheetId="1" r:id="rId1"/>
    <sheet name="Изменения норм" sheetId="3" r:id="rId2"/>
    <sheet name="Токарка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2" l="1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3" i="2"/>
  <c r="P11" i="2"/>
  <c r="L54" i="3"/>
  <c r="K54" i="3"/>
  <c r="J54" i="3"/>
  <c r="J49" i="3"/>
  <c r="K49" i="3"/>
  <c r="L49" i="3"/>
  <c r="J50" i="3"/>
  <c r="K50" i="3"/>
  <c r="L50" i="3"/>
  <c r="J52" i="3"/>
  <c r="K52" i="3"/>
  <c r="L52" i="3"/>
  <c r="J55" i="3"/>
  <c r="K55" i="3"/>
  <c r="L55" i="3"/>
  <c r="J57" i="3"/>
  <c r="K57" i="3"/>
  <c r="L57" i="3"/>
  <c r="AD8" i="1" l="1"/>
  <c r="AD7" i="1"/>
  <c r="AD6" i="1"/>
  <c r="AB12" i="1"/>
  <c r="AB11" i="1"/>
  <c r="AB10" i="1"/>
  <c r="AC8" i="1"/>
  <c r="AC7" i="1"/>
  <c r="AC6" i="1"/>
  <c r="S32" i="1" l="1"/>
  <c r="S31" i="1"/>
  <c r="AC14" i="1"/>
  <c r="AD13" i="1"/>
  <c r="AC13" i="1"/>
  <c r="AD12" i="1"/>
  <c r="AD11" i="1"/>
  <c r="AD10" i="1"/>
  <c r="AC10" i="1"/>
  <c r="AD9" i="1"/>
  <c r="AC9" i="1"/>
  <c r="AB5" i="1"/>
  <c r="AC5" i="1"/>
  <c r="AD5" i="1"/>
  <c r="AD4" i="1"/>
  <c r="AC4" i="1"/>
  <c r="AB4" i="1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J4" i="3"/>
  <c r="K4" i="3"/>
  <c r="L4" i="3"/>
  <c r="J5" i="3"/>
  <c r="K5" i="3"/>
  <c r="L5" i="3"/>
  <c r="J6" i="3"/>
  <c r="K6" i="3"/>
  <c r="L6" i="3"/>
  <c r="J7" i="3"/>
  <c r="K7" i="3"/>
  <c r="L7" i="3"/>
  <c r="L3" i="3"/>
  <c r="K3" i="3"/>
  <c r="J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Товстик Евгений Александрович</author>
    <author>Гожко Николай Алексеевич</author>
  </authors>
  <commentList>
    <comment ref="A20" authorId="0" shapeId="0" xr:uid="{B92A75FB-6A88-4DFF-AB8D-BB38EC92108E}">
      <text>
        <r>
          <rPr>
            <b/>
            <sz val="9"/>
            <color indexed="81"/>
            <rFont val="Tahoma"/>
            <family val="2"/>
            <charset val="204"/>
          </rPr>
          <t>Волобуев</t>
        </r>
      </text>
    </comment>
    <comment ref="A21" authorId="0" shapeId="0" xr:uid="{CF0BA563-2D78-4700-9B8A-AE0FB9862379}">
      <text>
        <r>
          <rPr>
            <b/>
            <sz val="9"/>
            <color indexed="81"/>
            <rFont val="Tahoma"/>
            <family val="2"/>
            <charset val="204"/>
          </rPr>
          <t>Волобуев</t>
        </r>
      </text>
    </comment>
    <comment ref="A22" authorId="0" shapeId="0" xr:uid="{81F74AA6-FDC6-4797-BA48-27CD7AC40E14}">
      <text>
        <r>
          <rPr>
            <b/>
            <sz val="9"/>
            <color indexed="81"/>
            <rFont val="Tahoma"/>
            <family val="2"/>
            <charset val="204"/>
          </rPr>
          <t>Волобуев</t>
        </r>
      </text>
    </comment>
    <comment ref="A49" authorId="0" shapeId="0" xr:uid="{D61CEBE7-5ECC-4903-BDD3-E8C945E29D4D}">
      <text>
        <r>
          <rPr>
            <sz val="9"/>
            <color indexed="81"/>
            <rFont val="Tahoma"/>
            <family val="2"/>
            <charset val="204"/>
          </rPr>
          <t>Рузаев</t>
        </r>
      </text>
    </comment>
    <comment ref="A50" authorId="0" shapeId="0" xr:uid="{447FF275-E977-4835-9E5F-B99CD293AB77}">
      <text>
        <r>
          <rPr>
            <sz val="9"/>
            <color indexed="81"/>
            <rFont val="Tahoma"/>
            <family val="2"/>
            <charset val="204"/>
          </rPr>
          <t>Рузаев</t>
        </r>
      </text>
    </comment>
    <comment ref="A51" authorId="0" shapeId="0" xr:uid="{E58783CF-7BDA-4145-B8E2-5B7B0BFC0466}">
      <text>
        <r>
          <rPr>
            <sz val="9"/>
            <color indexed="81"/>
            <rFont val="Tahoma"/>
            <family val="2"/>
            <charset val="204"/>
          </rPr>
          <t>Волобуев</t>
        </r>
      </text>
    </comment>
    <comment ref="A52" authorId="0" shapeId="0" xr:uid="{40CE2C5F-8342-46E0-89E5-CCCDED3B5C56}">
      <text>
        <r>
          <rPr>
            <sz val="9"/>
            <color indexed="81"/>
            <rFont val="Tahoma"/>
            <family val="2"/>
            <charset val="204"/>
          </rPr>
          <t>Волобуев</t>
        </r>
      </text>
    </comment>
    <comment ref="A53" authorId="0" shapeId="0" xr:uid="{AEA28AAF-FB30-4A92-800A-65694B6B2AB5}">
      <text>
        <r>
          <rPr>
            <b/>
            <sz val="9"/>
            <color indexed="81"/>
            <rFont val="Tahoma"/>
            <family val="2"/>
            <charset val="204"/>
          </rPr>
          <t>Волобуев</t>
        </r>
      </text>
    </comment>
    <comment ref="A60" authorId="1" shapeId="0" xr:uid="{FA7549A1-780C-4EFA-951B-B32594CB51E8}">
      <text>
        <r>
          <rPr>
            <b/>
            <sz val="9"/>
            <color indexed="81"/>
            <rFont val="Tahoma"/>
            <family val="2"/>
            <charset val="204"/>
          </rPr>
          <t xml:space="preserve">Волобуев
</t>
        </r>
      </text>
    </comment>
    <comment ref="A61" authorId="1" shapeId="0" xr:uid="{3649DEAF-4FB3-4CBB-80DE-584F3C4BB935}">
      <text>
        <r>
          <rPr>
            <b/>
            <sz val="9"/>
            <color indexed="81"/>
            <rFont val="Tahoma"/>
            <family val="2"/>
            <charset val="204"/>
          </rPr>
          <t xml:space="preserve">Волобуев
</t>
        </r>
      </text>
    </comment>
  </commentList>
</comments>
</file>

<file path=xl/sharedStrings.xml><?xml version="1.0" encoding="utf-8"?>
<sst xmlns="http://schemas.openxmlformats.org/spreadsheetml/2006/main" count="850" uniqueCount="154">
  <si>
    <t>ДУ 0-300</t>
  </si>
  <si>
    <t>н.д.</t>
  </si>
  <si>
    <t>-</t>
  </si>
  <si>
    <t>ДУ 300-500</t>
  </si>
  <si>
    <t>Наименование</t>
  </si>
  <si>
    <t>Факт</t>
  </si>
  <si>
    <t>1С</t>
  </si>
  <si>
    <t>Разница разделки кромок</t>
  </si>
  <si>
    <t>Разница сварки</t>
  </si>
  <si>
    <t>Разница зачистки</t>
  </si>
  <si>
    <t>Скорость разделки</t>
  </si>
  <si>
    <t>Скорость сварки</t>
  </si>
  <si>
    <t>Скорость зачистки</t>
  </si>
  <si>
    <t>Длина разделки кромок, мм.</t>
  </si>
  <si>
    <t>Длина сварного шва, мм.</t>
  </si>
  <si>
    <t>Предполагаемая скорость разделки</t>
  </si>
  <si>
    <t>Предполагаемая скорость сварки</t>
  </si>
  <si>
    <t>Предполагаемая скорость зачистки</t>
  </si>
  <si>
    <t>Разделка кромок</t>
  </si>
  <si>
    <t>Сварка</t>
  </si>
  <si>
    <t>Зачистка</t>
  </si>
  <si>
    <t>%</t>
  </si>
  <si>
    <t>Knuth</t>
  </si>
  <si>
    <t>Калькулятор</t>
  </si>
  <si>
    <t>Отводы</t>
  </si>
  <si>
    <t>Трубы</t>
  </si>
  <si>
    <t>Патрубки</t>
  </si>
  <si>
    <t>Тройники</t>
  </si>
  <si>
    <t>Коллектор</t>
  </si>
  <si>
    <t>Переходы ступенчатые</t>
  </si>
  <si>
    <t>Переходы конические</t>
  </si>
  <si>
    <t>0-300</t>
  </si>
  <si>
    <t>300-500</t>
  </si>
  <si>
    <t>500-700</t>
  </si>
  <si>
    <t>700-900</t>
  </si>
  <si>
    <t>900+</t>
  </si>
  <si>
    <t>Скорость разделки кромок</t>
  </si>
  <si>
    <t>Факт.</t>
  </si>
  <si>
    <t>нет</t>
  </si>
  <si>
    <t>Длина шва зачистки, мм.</t>
  </si>
  <si>
    <t>ЭШ 1225.02.01.30.003</t>
  </si>
  <si>
    <t>Могелев</t>
  </si>
  <si>
    <t>Савенков</t>
  </si>
  <si>
    <t>Сравнение токарей по времени изготовления</t>
  </si>
  <si>
    <t>Разница Могелев/Савенков</t>
  </si>
  <si>
    <t>Рубашка отвода ЦХ 254.06.30.000 №1</t>
  </si>
  <si>
    <t>Рубашка отвода ЦХ 254.06.30.000 №2</t>
  </si>
  <si>
    <t>8 490,56</t>
  </si>
  <si>
    <t>17 679,28</t>
  </si>
  <si>
    <t>н.д</t>
  </si>
  <si>
    <t>Сравнение времени по бригаде</t>
  </si>
  <si>
    <t>Волобуев</t>
  </si>
  <si>
    <t>Рузаев</t>
  </si>
  <si>
    <t>Разница по времени Волобуев/Рузаев, %</t>
  </si>
  <si>
    <t>Сравнене в % Сварка</t>
  </si>
  <si>
    <t>Сравнене в % Зачистка</t>
  </si>
  <si>
    <t>Сравнене в % Разделка</t>
  </si>
  <si>
    <t>ТНФ 200.01.009</t>
  </si>
  <si>
    <t>ЭШ 1225.02.01.30.004</t>
  </si>
  <si>
    <t>ЦХ 200.217.30.001</t>
  </si>
  <si>
    <t>ТНФ 200.01.220</t>
  </si>
  <si>
    <t>ЦХ 300.342.30.001</t>
  </si>
  <si>
    <t>ТНФ 219.01.070</t>
  </si>
  <si>
    <t>Рубашка отвода ЦХ 152.251.30.000 №1</t>
  </si>
  <si>
    <t>3 657,29</t>
  </si>
  <si>
    <t>6 771,37</t>
  </si>
  <si>
    <t>Рубашка отвода ЦХ 152.250.30.000 №1</t>
  </si>
  <si>
    <t>1 828,64</t>
  </si>
  <si>
    <t>4 266,84</t>
  </si>
  <si>
    <t>Рубашка отвода ЦХ 152.250.30.000 №2</t>
  </si>
  <si>
    <t>Н.д.</t>
  </si>
  <si>
    <t>Рубашка отвода ЦХ 152.250.30.000 №3</t>
  </si>
  <si>
    <t>Рубашка отвода ЦХ 152.250.30.000 №4</t>
  </si>
  <si>
    <t>Рубашка отвода ЦХ 152.251.30.000 №2</t>
  </si>
  <si>
    <t>Рубашка отвода ЦХ 200.355.30.000 №1</t>
  </si>
  <si>
    <t>5 828,41</t>
  </si>
  <si>
    <t>12 210,97</t>
  </si>
  <si>
    <t>Рубашка отвода ЦХ 200.355.30.000 №2</t>
  </si>
  <si>
    <t>Рубашка отвода ЦХ 200.355.30.000 №3</t>
  </si>
  <si>
    <t>Рубашка отвода ЦХ 200.355.30.000 №4</t>
  </si>
  <si>
    <t>Рубашка отвода ЦХ 200.355.30.000 №5</t>
  </si>
  <si>
    <t>Рубашка коллектора ШТ 402.245.03.30.000 №1</t>
  </si>
  <si>
    <t>14 745,76</t>
  </si>
  <si>
    <t>8 192,09</t>
  </si>
  <si>
    <t>Рубашка коллектора ШТ 402.245.03.30.000 №2</t>
  </si>
  <si>
    <t>Рубашка коллектора ШТ 402.245.03.30.000 №3</t>
  </si>
  <si>
    <t>Рубашка тройника ЦФ 300.370.30.000 №1</t>
  </si>
  <si>
    <t>10 131,24</t>
  </si>
  <si>
    <t>Рубашка тройника ЦФ 300.370.30.000 №2</t>
  </si>
  <si>
    <t>Рубашка отвода ЦХ 254.06.30.000 №3</t>
  </si>
  <si>
    <t>Рубашка отвода ЦХ 245.334.30.000 №1</t>
  </si>
  <si>
    <t>8 005,82</t>
  </si>
  <si>
    <t>16 463,34</t>
  </si>
  <si>
    <t>Рубашка отвода ЦХ 245.334.30.000 №2</t>
  </si>
  <si>
    <t>Рубашка отвода ЦХ 245.334.30.000 №3</t>
  </si>
  <si>
    <t>Рубашка отвода ЦХ 245.334.30.000 №4</t>
  </si>
  <si>
    <t>Рубашка отвода ЦХ 245.334.30.000 №5</t>
  </si>
  <si>
    <t>Рубашка отвода ЦХ 245.334.30.000 №6</t>
  </si>
  <si>
    <t>Рубашка отвода ЦХ 300.368.30.000 №1</t>
  </si>
  <si>
    <t>6 612,84</t>
  </si>
  <si>
    <t>11 697,04</t>
  </si>
  <si>
    <t>Рубашка отвода ЦХ 300.368.30.000 №2</t>
  </si>
  <si>
    <t>ДУ 500-700</t>
  </si>
  <si>
    <t>Рубашка трубопровода АВС 600.273.30.000 №1</t>
  </si>
  <si>
    <t>9 023,52</t>
  </si>
  <si>
    <t>Рубашка трубопровода АВС 600.272.30.000 №2</t>
  </si>
  <si>
    <t>ЦХ 245.100.30.003</t>
  </si>
  <si>
    <t>ЦХ 300.101.30.003</t>
  </si>
  <si>
    <t>ТНФ 300.00.254</t>
  </si>
  <si>
    <t>ШП 245.176.30.004</t>
  </si>
  <si>
    <t>ЦХ 300.385.30.001</t>
  </si>
  <si>
    <t>ТНФ 245.01.134</t>
  </si>
  <si>
    <t>ЦХ 300.295.30.001</t>
  </si>
  <si>
    <t>ШП 300.118.30.002</t>
  </si>
  <si>
    <t>ЦХ 203.08.30.003</t>
  </si>
  <si>
    <t>Коэф</t>
  </si>
  <si>
    <t>Рубашка тройника ЦФ 245.345.30.000 №1</t>
  </si>
  <si>
    <t>Рубашка тройника ЦФ 245.345.30.000 №2</t>
  </si>
  <si>
    <t>Рубашка тройника ЦФ 245.345.30.000 №3</t>
  </si>
  <si>
    <t>-%</t>
  </si>
  <si>
    <t>4 917,78</t>
  </si>
  <si>
    <t>Рубашка тройника ЦФ 351.198.30.000 №1</t>
  </si>
  <si>
    <t>9 284,56</t>
  </si>
  <si>
    <t>5 218,81</t>
  </si>
  <si>
    <t>Рубашка тройника ЦФ 351.198.30.000 №2</t>
  </si>
  <si>
    <t>Рубашка тройника ЦФ 300.385.30.000 №1</t>
  </si>
  <si>
    <t>10 121,80</t>
  </si>
  <si>
    <t>5 623,22</t>
  </si>
  <si>
    <t>Рубашка тройника ЦФ 300.391.30.000 №1</t>
  </si>
  <si>
    <t>Рубашка тройника ЦФ 300.391.30.000 №2</t>
  </si>
  <si>
    <t>9 085,16</t>
  </si>
  <si>
    <t>5 047,31</t>
  </si>
  <si>
    <t>ЦХ 300.342.30.002</t>
  </si>
  <si>
    <t>ЦХ 200.48.30.003</t>
  </si>
  <si>
    <t>ЦФ 300.149.30.005</t>
  </si>
  <si>
    <t>ЦФ 300.149.30.003</t>
  </si>
  <si>
    <t>ТНФ 245.00.250</t>
  </si>
  <si>
    <t>ЦХ 273.45.30.003</t>
  </si>
  <si>
    <t>ЦХ 351.29.30.003</t>
  </si>
  <si>
    <t>ЦФ 245.132.30.003</t>
  </si>
  <si>
    <t>ТНФ 273.00.038</t>
  </si>
  <si>
    <t>ЭН 200.245.30.30.003</t>
  </si>
  <si>
    <t>Диаметр основания</t>
  </si>
  <si>
    <t>Коллекторы</t>
  </si>
  <si>
    <t>Отсутствующие изделия</t>
  </si>
  <si>
    <t>Рубашка коллектора ШТ 402.175.30.000</t>
  </si>
  <si>
    <t>16 918,61</t>
  </si>
  <si>
    <t>9 399,23</t>
  </si>
  <si>
    <t>Рубашка тройника ЦФ 402.362.30.000</t>
  </si>
  <si>
    <t>9 114,09</t>
  </si>
  <si>
    <t>5 063,38</t>
  </si>
  <si>
    <t>сред</t>
  </si>
  <si>
    <t>1 фл</t>
  </si>
  <si>
    <t>отл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</si>
</sst>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9" fontId="4" fillId="0" borderId="4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3" fillId="0" borderId="16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1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center" vertical="center" wrapText="1"/>
    </xf>
    <xf numFmtId="21" fontId="0" fillId="0" borderId="0" xfId="0" applyNumberFormat="1"/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165" fontId="7" fillId="0" borderId="13" xfId="0" applyNumberFormat="1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21" fontId="4" fillId="0" borderId="5" xfId="0" applyNumberFormat="1" applyFont="1" applyBorder="1" applyAlignment="1">
      <alignment horizontal="center" vertical="center" wrapText="1"/>
    </xf>
    <xf numFmtId="9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1" fontId="4" fillId="0" borderId="4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36" xfId="0" applyFont="1" applyBorder="1" applyAlignment="1">
      <alignment wrapText="1"/>
    </xf>
    <xf numFmtId="0" fontId="2" fillId="0" borderId="37" xfId="0" applyFont="1" applyBorder="1" applyAlignment="1">
      <alignment wrapText="1"/>
    </xf>
    <xf numFmtId="0" fontId="3" fillId="0" borderId="0" xfId="0" applyFont="1"/>
    <xf numFmtId="0" fontId="3" fillId="0" borderId="35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2" fontId="0" fillId="5" borderId="13" xfId="0" applyNumberFormat="1" applyFill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wrapText="1"/>
    </xf>
    <xf numFmtId="0" fontId="8" fillId="0" borderId="0" xfId="0" applyFont="1"/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0" fontId="4" fillId="0" borderId="0" xfId="0" applyFont="1"/>
    <xf numFmtId="164" fontId="4" fillId="0" borderId="1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34" xfId="0" applyNumberFormat="1" applyFont="1" applyBorder="1" applyAlignment="1">
      <alignment vertical="center" wrapText="1"/>
    </xf>
    <xf numFmtId="164" fontId="4" fillId="0" borderId="14" xfId="0" applyNumberFormat="1" applyFont="1" applyBorder="1" applyAlignment="1">
      <alignment vertical="center" wrapText="1"/>
    </xf>
    <xf numFmtId="21" fontId="2" fillId="0" borderId="0" xfId="0" applyNumberFormat="1" applyFont="1"/>
    <xf numFmtId="0" fontId="3" fillId="0" borderId="1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4" fontId="3" fillId="0" borderId="34" xfId="0" applyNumberFormat="1" applyFont="1" applyBorder="1" applyAlignment="1">
      <alignment horizontal="center"/>
    </xf>
    <xf numFmtId="164" fontId="4" fillId="0" borderId="0" xfId="0" applyNumberFormat="1" applyFont="1"/>
    <xf numFmtId="164" fontId="3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4" fillId="0" borderId="0" xfId="0" applyNumberFormat="1" applyFont="1"/>
    <xf numFmtId="2" fontId="0" fillId="0" borderId="0" xfId="0" applyNumberFormat="1"/>
    <xf numFmtId="21" fontId="4" fillId="0" borderId="0" xfId="0" applyNumberFormat="1" applyFont="1"/>
    <xf numFmtId="2" fontId="3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21" fontId="10" fillId="0" borderId="4" xfId="0" applyNumberFormat="1" applyFont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0" xfId="0" applyFont="1"/>
    <xf numFmtId="0" fontId="9" fillId="0" borderId="35" xfId="0" applyFont="1" applyBorder="1" applyAlignment="1">
      <alignment wrapText="1"/>
    </xf>
    <xf numFmtId="0" fontId="10" fillId="0" borderId="5" xfId="0" applyFont="1" applyBorder="1" applyAlignment="1">
      <alignment horizontal="center" vertical="center" wrapText="1"/>
    </xf>
    <xf numFmtId="21" fontId="10" fillId="0" borderId="5" xfId="0" applyNumberFormat="1" applyFont="1" applyBorder="1" applyAlignment="1">
      <alignment horizontal="center" vertical="center" wrapText="1"/>
    </xf>
    <xf numFmtId="9" fontId="10" fillId="0" borderId="5" xfId="0" applyNumberFormat="1" applyFont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/>
    </xf>
    <xf numFmtId="0" fontId="14" fillId="0" borderId="0" xfId="0" applyFont="1"/>
    <xf numFmtId="21" fontId="16" fillId="0" borderId="35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35" xfId="0" applyFont="1" applyBorder="1"/>
    <xf numFmtId="0" fontId="7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0" fillId="0" borderId="0" xfId="0" applyNumberFormat="1"/>
    <xf numFmtId="9" fontId="16" fillId="0" borderId="35" xfId="0" applyNumberFormat="1" applyFont="1" applyBorder="1"/>
    <xf numFmtId="10" fontId="0" fillId="3" borderId="0" xfId="0" applyNumberFormat="1" applyFill="1"/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 textRotation="90" wrapText="1"/>
    </xf>
    <xf numFmtId="0" fontId="3" fillId="0" borderId="22" xfId="0" applyFont="1" applyBorder="1" applyAlignment="1">
      <alignment horizontal="center" vertical="center" textRotation="90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9" xfId="0" applyFont="1" applyBorder="1" applyAlignment="1">
      <alignment horizontal="center" vertical="center" textRotation="90"/>
    </xf>
    <xf numFmtId="0" fontId="3" fillId="0" borderId="30" xfId="0" applyFont="1" applyBorder="1" applyAlignment="1">
      <alignment horizontal="center" vertical="center" textRotation="90"/>
    </xf>
    <xf numFmtId="0" fontId="3" fillId="0" borderId="31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 vertical="center" textRotation="90"/>
    </xf>
    <xf numFmtId="0" fontId="3" fillId="0" borderId="18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 vertical="center" textRotation="90"/>
    </xf>
    <xf numFmtId="0" fontId="3" fillId="0" borderId="22" xfId="0" applyFont="1" applyBorder="1" applyAlignment="1">
      <alignment horizontal="center" vertical="center" textRotation="90"/>
    </xf>
    <xf numFmtId="21" fontId="16" fillId="0" borderId="51" xfId="0" applyNumberFormat="1" applyFont="1" applyBorder="1" applyAlignment="1">
      <alignment horizontal="center" vertical="center" wrapText="1"/>
    </xf>
    <xf numFmtId="21" fontId="16" fillId="0" borderId="52" xfId="0" applyNumberFormat="1" applyFont="1" applyBorder="1" applyAlignment="1">
      <alignment horizontal="center" vertical="center" wrapText="1"/>
    </xf>
    <xf numFmtId="21" fontId="16" fillId="0" borderId="9" xfId="0" applyNumberFormat="1" applyFont="1" applyBorder="1" applyAlignment="1">
      <alignment horizontal="center" vertical="center" wrapText="1"/>
    </xf>
    <xf numFmtId="21" fontId="16" fillId="0" borderId="10" xfId="0" applyNumberFormat="1" applyFont="1" applyBorder="1" applyAlignment="1">
      <alignment horizontal="center" vertical="center" wrapText="1"/>
    </xf>
    <xf numFmtId="21" fontId="16" fillId="0" borderId="50" xfId="0" applyNumberFormat="1" applyFont="1" applyBorder="1" applyAlignment="1">
      <alignment horizontal="center" vertical="center" wrapText="1"/>
    </xf>
    <xf numFmtId="21" fontId="16" fillId="0" borderId="49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/>
    </xf>
    <xf numFmtId="2" fontId="4" fillId="0" borderId="34" xfId="0" applyNumberFormat="1" applyFont="1" applyBorder="1" applyAlignment="1">
      <alignment horizontal="center" vertical="center" wrapText="1"/>
    </xf>
    <xf numFmtId="2" fontId="4" fillId="0" borderId="14" xfId="0" applyNumberFormat="1" applyFont="1" applyBorder="1" applyAlignment="1">
      <alignment horizontal="center" vertical="center" wrapText="1"/>
    </xf>
    <xf numFmtId="21" fontId="4" fillId="0" borderId="34" xfId="0" applyNumberFormat="1" applyFont="1" applyBorder="1" applyAlignment="1">
      <alignment horizontal="center" vertical="center" wrapText="1"/>
    </xf>
    <xf numFmtId="21" fontId="4" fillId="0" borderId="14" xfId="0" applyNumberFormat="1" applyFont="1" applyBorder="1" applyAlignment="1">
      <alignment horizontal="center" vertical="center" wrapText="1"/>
    </xf>
    <xf numFmtId="21" fontId="4" fillId="0" borderId="13" xfId="0" applyNumberFormat="1" applyFont="1" applyBorder="1" applyAlignment="1">
      <alignment horizontal="center" vertical="center" wrapText="1"/>
    </xf>
    <xf numFmtId="2" fontId="4" fillId="0" borderId="40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40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21" fontId="4" fillId="0" borderId="40" xfId="0" applyNumberFormat="1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6" fillId="0" borderId="9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сред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Токарка!$U$3:$U$28</c:f>
              <c:numCache>
                <c:formatCode>General</c:formatCode>
                <c:ptCount val="26"/>
                <c:pt idx="0">
                  <c:v>16</c:v>
                </c:pt>
                <c:pt idx="1">
                  <c:v>18.5</c:v>
                </c:pt>
                <c:pt idx="2">
                  <c:v>16</c:v>
                </c:pt>
                <c:pt idx="3">
                  <c:v>16.5</c:v>
                </c:pt>
                <c:pt idx="4">
                  <c:v>16</c:v>
                </c:pt>
                <c:pt idx="5">
                  <c:v>17.5</c:v>
                </c:pt>
                <c:pt idx="6">
                  <c:v>15.2</c:v>
                </c:pt>
                <c:pt idx="7">
                  <c:v>14</c:v>
                </c:pt>
                <c:pt idx="8">
                  <c:v>14.5</c:v>
                </c:pt>
                <c:pt idx="9">
                  <c:v>15</c:v>
                </c:pt>
                <c:pt idx="10">
                  <c:v>7</c:v>
                </c:pt>
                <c:pt idx="11">
                  <c:v>9</c:v>
                </c:pt>
                <c:pt idx="12">
                  <c:v>27</c:v>
                </c:pt>
                <c:pt idx="13">
                  <c:v>13.8</c:v>
                </c:pt>
                <c:pt idx="14">
                  <c:v>12.8</c:v>
                </c:pt>
                <c:pt idx="15">
                  <c:v>7</c:v>
                </c:pt>
                <c:pt idx="16">
                  <c:v>10.9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12.5</c:v>
                </c:pt>
                <c:pt idx="22">
                  <c:v>6.7</c:v>
                </c:pt>
                <c:pt idx="23">
                  <c:v>10</c:v>
                </c:pt>
                <c:pt idx="24">
                  <c:v>13</c:v>
                </c:pt>
                <c:pt idx="25">
                  <c:v>5.2</c:v>
                </c:pt>
              </c:numCache>
            </c:numRef>
          </c:xVal>
          <c:yVal>
            <c:numRef>
              <c:f>Токарка!$V$3:$V$28</c:f>
              <c:numCache>
                <c:formatCode>General</c:formatCode>
                <c:ptCount val="26"/>
                <c:pt idx="0">
                  <c:v>22</c:v>
                </c:pt>
                <c:pt idx="1">
                  <c:v>23.5</c:v>
                </c:pt>
                <c:pt idx="2">
                  <c:v>30.5</c:v>
                </c:pt>
                <c:pt idx="3">
                  <c:v>23.5</c:v>
                </c:pt>
                <c:pt idx="4">
                  <c:v>21.5</c:v>
                </c:pt>
                <c:pt idx="5">
                  <c:v>33.5</c:v>
                </c:pt>
                <c:pt idx="6">
                  <c:v>23</c:v>
                </c:pt>
                <c:pt idx="7">
                  <c:v>28.3</c:v>
                </c:pt>
                <c:pt idx="8">
                  <c:v>28</c:v>
                </c:pt>
                <c:pt idx="9">
                  <c:v>20</c:v>
                </c:pt>
                <c:pt idx="10">
                  <c:v>13</c:v>
                </c:pt>
                <c:pt idx="11">
                  <c:v>12.5</c:v>
                </c:pt>
                <c:pt idx="12">
                  <c:v>32</c:v>
                </c:pt>
                <c:pt idx="13">
                  <c:v>18.100000000000001</c:v>
                </c:pt>
                <c:pt idx="14">
                  <c:v>20.2</c:v>
                </c:pt>
                <c:pt idx="15">
                  <c:v>11.2</c:v>
                </c:pt>
                <c:pt idx="16">
                  <c:v>19</c:v>
                </c:pt>
                <c:pt idx="17">
                  <c:v>16</c:v>
                </c:pt>
                <c:pt idx="18">
                  <c:v>15</c:v>
                </c:pt>
                <c:pt idx="19">
                  <c:v>16</c:v>
                </c:pt>
                <c:pt idx="20">
                  <c:v>14</c:v>
                </c:pt>
                <c:pt idx="21">
                  <c:v>22.7</c:v>
                </c:pt>
                <c:pt idx="22">
                  <c:v>11.7</c:v>
                </c:pt>
                <c:pt idx="23">
                  <c:v>15.7</c:v>
                </c:pt>
                <c:pt idx="24">
                  <c:v>24</c:v>
                </c:pt>
                <c:pt idx="25">
                  <c:v>9.1999999999999993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98D-498C-9724-9C9BD419F0FE}"/>
            </c:ext>
          </c:extLst>
        </c:ser>
        <c:ser>
          <c:idx val="1"/>
          <c:order val="1"/>
          <c:tx>
            <c:v>отл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Токарка!$U$3:$U$28</c:f>
              <c:numCache>
                <c:formatCode>General</c:formatCode>
                <c:ptCount val="26"/>
                <c:pt idx="0">
                  <c:v>16</c:v>
                </c:pt>
                <c:pt idx="1">
                  <c:v>18.5</c:v>
                </c:pt>
                <c:pt idx="2">
                  <c:v>16</c:v>
                </c:pt>
                <c:pt idx="3">
                  <c:v>16.5</c:v>
                </c:pt>
                <c:pt idx="4">
                  <c:v>16</c:v>
                </c:pt>
                <c:pt idx="5">
                  <c:v>17.5</c:v>
                </c:pt>
                <c:pt idx="6">
                  <c:v>15.2</c:v>
                </c:pt>
                <c:pt idx="7">
                  <c:v>14</c:v>
                </c:pt>
                <c:pt idx="8">
                  <c:v>14.5</c:v>
                </c:pt>
                <c:pt idx="9">
                  <c:v>15</c:v>
                </c:pt>
                <c:pt idx="10">
                  <c:v>7</c:v>
                </c:pt>
                <c:pt idx="11">
                  <c:v>9</c:v>
                </c:pt>
                <c:pt idx="12">
                  <c:v>27</c:v>
                </c:pt>
                <c:pt idx="13">
                  <c:v>13.8</c:v>
                </c:pt>
                <c:pt idx="14">
                  <c:v>12.8</c:v>
                </c:pt>
                <c:pt idx="15">
                  <c:v>7</c:v>
                </c:pt>
                <c:pt idx="16">
                  <c:v>10.9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12.5</c:v>
                </c:pt>
                <c:pt idx="22">
                  <c:v>6.7</c:v>
                </c:pt>
                <c:pt idx="23">
                  <c:v>10</c:v>
                </c:pt>
                <c:pt idx="24">
                  <c:v>13</c:v>
                </c:pt>
                <c:pt idx="25">
                  <c:v>5.2</c:v>
                </c:pt>
              </c:numCache>
            </c:numRef>
          </c:xVal>
          <c:yVal>
            <c:numRef>
              <c:f>Токарка!$W$3:$W$28</c:f>
              <c:numCache>
                <c:formatCode>General</c:formatCode>
                <c:ptCount val="26"/>
                <c:pt idx="0">
                  <c:v>27.272727272727266</c:v>
                </c:pt>
                <c:pt idx="1">
                  <c:v>21.276595744680847</c:v>
                </c:pt>
                <c:pt idx="2">
                  <c:v>47.540983606557376</c:v>
                </c:pt>
                <c:pt idx="3">
                  <c:v>29.787234042553195</c:v>
                </c:pt>
                <c:pt idx="4">
                  <c:v>25.581395348837205</c:v>
                </c:pt>
                <c:pt idx="5">
                  <c:v>47.761194029850749</c:v>
                </c:pt>
                <c:pt idx="6">
                  <c:v>33.913043478260875</c:v>
                </c:pt>
                <c:pt idx="7">
                  <c:v>50.53003533568905</c:v>
                </c:pt>
                <c:pt idx="8">
                  <c:v>48.214285714285708</c:v>
                </c:pt>
                <c:pt idx="9">
                  <c:v>25</c:v>
                </c:pt>
                <c:pt idx="10">
                  <c:v>46.153846153846153</c:v>
                </c:pt>
                <c:pt idx="11">
                  <c:v>28</c:v>
                </c:pt>
                <c:pt idx="12">
                  <c:v>15.625</c:v>
                </c:pt>
                <c:pt idx="13">
                  <c:v>23.756906077348077</c:v>
                </c:pt>
                <c:pt idx="14">
                  <c:v>36.633663366336634</c:v>
                </c:pt>
                <c:pt idx="15">
                  <c:v>37.5</c:v>
                </c:pt>
                <c:pt idx="16">
                  <c:v>42.631578947368418</c:v>
                </c:pt>
                <c:pt idx="17">
                  <c:v>37.5</c:v>
                </c:pt>
                <c:pt idx="18">
                  <c:v>33.333333333333343</c:v>
                </c:pt>
                <c:pt idx="19">
                  <c:v>31.25</c:v>
                </c:pt>
                <c:pt idx="20">
                  <c:v>21.428571428571431</c:v>
                </c:pt>
                <c:pt idx="21">
                  <c:v>44.933920704845811</c:v>
                </c:pt>
                <c:pt idx="22">
                  <c:v>42.735042735042725</c:v>
                </c:pt>
                <c:pt idx="23">
                  <c:v>36.305732484076422</c:v>
                </c:pt>
                <c:pt idx="24">
                  <c:v>45.833333333333336</c:v>
                </c:pt>
                <c:pt idx="25">
                  <c:v>43.478260869565212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98D-498C-9724-9C9BD419F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044271"/>
        <c:axId val="1990059631"/>
      </c:scatterChart>
      <c:valAx>
        <c:axId val="199004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0059631"/>
        <c:crosses val="autoZero"/>
        <c:crossBetween val="midCat"/>
      </c:valAx>
      <c:valAx>
        <c:axId val="19900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004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742950</xdr:colOff>
      <xdr:row>14</xdr:row>
      <xdr:rowOff>128587</xdr:rowOff>
    </xdr:from>
    <xdr:to>
      <xdr:col>15</xdr:col>
      <xdr:colOff>2286000</xdr:colOff>
      <xdr:row>28</xdr:row>
      <xdr:rowOff>147637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D87390F-6A29-0E00-F991-D569BE97C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V61"/>
  <sheetViews>
    <sheetView zoomScale="85" zoomScaleNormal="85" workbookViewId="0">
      <pane ySplit="2" topLeftCell="A45" activePane="bottomLeft" state="frozen"/>
      <selection pane="bottomLeft" activeCell="E64" sqref="E64"/>
    </sheetView>
  </sheetViews>
  <sheetFormatPr defaultColWidth="56.42578125" defaultRowHeight="15" x14ac:dyDescent="0.25"/>
  <cols>
    <col min="1" max="1" width="63.28515625" customWidth="1"/>
    <col min="2" max="2" width="12.85546875" bestFit="1" customWidth="1"/>
    <col min="3" max="3" width="10.5703125" bestFit="1" customWidth="1"/>
    <col min="4" max="4" width="12.85546875" bestFit="1" customWidth="1"/>
    <col min="5" max="5" width="23.28515625" bestFit="1" customWidth="1"/>
    <col min="6" max="6" width="10.5703125" bestFit="1" customWidth="1"/>
    <col min="7" max="7" width="12.85546875" bestFit="1" customWidth="1"/>
    <col min="8" max="8" width="24.28515625" customWidth="1"/>
    <col min="9" max="9" width="11.7109375" bestFit="1" customWidth="1"/>
    <col min="10" max="10" width="12.7109375" bestFit="1" customWidth="1"/>
    <col min="11" max="13" width="13.140625" bestFit="1" customWidth="1"/>
    <col min="14" max="14" width="21.85546875" bestFit="1" customWidth="1"/>
    <col min="15" max="15" width="21.7109375" bestFit="1" customWidth="1"/>
    <col min="16" max="16" width="18.85546875" bestFit="1" customWidth="1"/>
    <col min="17" max="17" width="25" bestFit="1" customWidth="1"/>
    <col min="18" max="18" width="22.5703125" bestFit="1" customWidth="1"/>
    <col min="19" max="19" width="25" bestFit="1" customWidth="1"/>
    <col min="21" max="21" width="67" customWidth="1"/>
    <col min="22" max="22" width="22.140625" bestFit="1" customWidth="1"/>
    <col min="23" max="23" width="10" bestFit="1" customWidth="1"/>
    <col min="24" max="24" width="12.28515625" bestFit="1" customWidth="1"/>
    <col min="25" max="25" width="22.140625" bestFit="1" customWidth="1"/>
    <col min="26" max="26" width="10" bestFit="1" customWidth="1"/>
    <col min="27" max="27" width="12.28515625" bestFit="1" customWidth="1"/>
    <col min="28" max="28" width="22.140625" bestFit="1" customWidth="1"/>
    <col min="29" max="29" width="10.42578125" bestFit="1" customWidth="1"/>
    <col min="30" max="30" width="12.28515625" bestFit="1" customWidth="1"/>
  </cols>
  <sheetData>
    <row r="1" spans="1:71" ht="57" thickBot="1" x14ac:dyDescent="0.3">
      <c r="A1" s="97" t="s">
        <v>4</v>
      </c>
      <c r="B1" s="99" t="s">
        <v>5</v>
      </c>
      <c r="C1" s="100"/>
      <c r="D1" s="101"/>
      <c r="E1" s="99" t="s">
        <v>6</v>
      </c>
      <c r="F1" s="100"/>
      <c r="G1" s="101"/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39</v>
      </c>
      <c r="Q1" s="6" t="s">
        <v>15</v>
      </c>
      <c r="R1" s="6" t="s">
        <v>16</v>
      </c>
      <c r="S1" s="6" t="s">
        <v>17</v>
      </c>
      <c r="T1" s="12"/>
      <c r="U1" s="102" t="s">
        <v>50</v>
      </c>
      <c r="V1" s="103"/>
      <c r="W1" s="103"/>
      <c r="X1" s="103"/>
      <c r="Y1" s="103"/>
      <c r="Z1" s="103"/>
      <c r="AA1" s="103"/>
      <c r="AB1" s="103"/>
      <c r="AC1" s="103"/>
      <c r="AD1" s="104"/>
      <c r="AE1" s="11"/>
      <c r="AF1" s="13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</row>
    <row r="2" spans="1:71" ht="38.25" thickBot="1" x14ac:dyDescent="0.3">
      <c r="A2" s="98"/>
      <c r="B2" s="8" t="s">
        <v>18</v>
      </c>
      <c r="C2" s="8" t="s">
        <v>19</v>
      </c>
      <c r="D2" s="8" t="s">
        <v>20</v>
      </c>
      <c r="E2" s="8" t="s">
        <v>18</v>
      </c>
      <c r="F2" s="8" t="s">
        <v>19</v>
      </c>
      <c r="G2" s="8" t="s">
        <v>20</v>
      </c>
      <c r="H2" s="99" t="s">
        <v>21</v>
      </c>
      <c r="I2" s="100"/>
      <c r="J2" s="101"/>
      <c r="K2" s="9"/>
      <c r="L2" s="105"/>
      <c r="M2" s="106"/>
      <c r="N2" s="106"/>
      <c r="O2" s="107"/>
      <c r="P2" s="10"/>
      <c r="Q2" s="105"/>
      <c r="R2" s="106"/>
      <c r="S2" s="107"/>
      <c r="T2" s="12"/>
      <c r="U2" s="28"/>
      <c r="V2" s="102" t="s">
        <v>51</v>
      </c>
      <c r="W2" s="103"/>
      <c r="X2" s="104"/>
      <c r="Y2" s="102" t="s">
        <v>52</v>
      </c>
      <c r="Z2" s="103"/>
      <c r="AA2" s="104"/>
      <c r="AB2" s="102" t="s">
        <v>53</v>
      </c>
      <c r="AC2" s="103"/>
      <c r="AD2" s="104"/>
      <c r="AE2" s="11"/>
      <c r="AF2" s="13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</row>
    <row r="3" spans="1:71" ht="38.2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U3" s="29" t="s">
        <v>4</v>
      </c>
      <c r="V3" s="8" t="s">
        <v>18</v>
      </c>
      <c r="W3" s="8" t="s">
        <v>19</v>
      </c>
      <c r="X3" s="8" t="s">
        <v>20</v>
      </c>
      <c r="Y3" s="8" t="s">
        <v>18</v>
      </c>
      <c r="Z3" s="8" t="s">
        <v>19</v>
      </c>
      <c r="AA3" s="8" t="s">
        <v>20</v>
      </c>
      <c r="AB3" s="8" t="s">
        <v>18</v>
      </c>
      <c r="AC3" s="8" t="s">
        <v>19</v>
      </c>
      <c r="AD3" s="8" t="s">
        <v>20</v>
      </c>
    </row>
    <row r="4" spans="1:71" ht="19.5" thickBot="1" x14ac:dyDescent="0.35">
      <c r="A4" s="42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U4" s="3" t="s">
        <v>74</v>
      </c>
      <c r="V4" s="36">
        <v>2.5937499999999999E-2</v>
      </c>
      <c r="W4" s="36">
        <v>4.8888888888888891E-2</v>
      </c>
      <c r="X4" s="36">
        <v>2.5810185185185186E-2</v>
      </c>
      <c r="Y4" s="36">
        <v>5.0879629629629629E-2</v>
      </c>
      <c r="Z4" s="36">
        <v>6.1805555555555558E-2</v>
      </c>
      <c r="AA4" s="36">
        <v>4.0543981481481479E-2</v>
      </c>
      <c r="AB4" s="4">
        <f>(Y4-V4)/Y4</f>
        <v>0.49021838034576892</v>
      </c>
      <c r="AC4" s="4">
        <f>(Z4-W4)/Z4</f>
        <v>0.20898876404494382</v>
      </c>
      <c r="AD4" s="4">
        <f>(AA4-X4)/AA4</f>
        <v>0.36340279760205535</v>
      </c>
    </row>
    <row r="5" spans="1:71" ht="19.5" thickBot="1" x14ac:dyDescent="0.35">
      <c r="A5" s="43" t="s">
        <v>63</v>
      </c>
      <c r="B5" s="33">
        <v>1.238425925925926E-2</v>
      </c>
      <c r="C5" s="33">
        <v>2.5520833333333333E-2</v>
      </c>
      <c r="D5" s="33">
        <v>2.3877314814814816E-2</v>
      </c>
      <c r="E5" s="33">
        <v>1.4699074074074074E-2</v>
      </c>
      <c r="F5" s="33">
        <v>3.1354166666666669E-2</v>
      </c>
      <c r="G5" s="33">
        <v>2.5949074074074076E-2</v>
      </c>
      <c r="H5" s="34">
        <v>0.16</v>
      </c>
      <c r="I5" s="34">
        <v>0.19</v>
      </c>
      <c r="J5" s="34">
        <v>0.08</v>
      </c>
      <c r="K5" s="35">
        <v>2.88</v>
      </c>
      <c r="L5" s="35">
        <v>2.5</v>
      </c>
      <c r="M5" s="35">
        <v>3.02</v>
      </c>
      <c r="N5" s="35" t="s">
        <v>64</v>
      </c>
      <c r="O5" s="35" t="s">
        <v>65</v>
      </c>
      <c r="P5" s="35" t="s">
        <v>65</v>
      </c>
      <c r="Q5" s="35">
        <v>3.42</v>
      </c>
      <c r="R5" s="35">
        <v>3.07</v>
      </c>
      <c r="S5" s="35">
        <v>3.28</v>
      </c>
      <c r="U5" s="51" t="s">
        <v>77</v>
      </c>
      <c r="V5" s="36">
        <v>2.0543981481481483E-2</v>
      </c>
      <c r="W5" s="36">
        <v>4.6400462962962963E-2</v>
      </c>
      <c r="X5" s="36">
        <v>2.3807870370370372E-2</v>
      </c>
      <c r="Y5" s="36">
        <v>3.7708333333333337E-2</v>
      </c>
      <c r="Z5" s="36">
        <v>6.25E-2</v>
      </c>
      <c r="AA5" s="36">
        <v>3.6481481481481483E-2</v>
      </c>
      <c r="AB5" s="4">
        <f t="shared" ref="AB5" si="0">(Y5-V5)/Y5</f>
        <v>0.45518723143032536</v>
      </c>
      <c r="AC5" s="4">
        <f t="shared" ref="AC5" si="1">(Z5-W5)/Z5</f>
        <v>0.2575925925925926</v>
      </c>
      <c r="AD5" s="4">
        <f t="shared" ref="AD5" si="2">(AA5-X5)/AA5</f>
        <v>0.34739847715736039</v>
      </c>
    </row>
    <row r="6" spans="1:71" ht="19.5" thickBot="1" x14ac:dyDescent="0.35">
      <c r="A6" s="3" t="s">
        <v>73</v>
      </c>
      <c r="B6" s="36">
        <v>1.1747685185185186E-2</v>
      </c>
      <c r="C6" s="36">
        <v>2.732638888888889E-2</v>
      </c>
      <c r="D6" s="36">
        <v>2.6064814814814815E-2</v>
      </c>
      <c r="E6" s="36">
        <v>1.4699074074074074E-2</v>
      </c>
      <c r="F6" s="36">
        <v>3.1354166666666669E-2</v>
      </c>
      <c r="G6" s="36">
        <v>2.5949074074074076E-2</v>
      </c>
      <c r="H6" s="37">
        <v>0.2</v>
      </c>
      <c r="I6" s="37">
        <v>0.13</v>
      </c>
      <c r="J6" s="37">
        <v>0</v>
      </c>
      <c r="K6" s="38">
        <v>2.88</v>
      </c>
      <c r="L6" s="38">
        <v>2.5</v>
      </c>
      <c r="M6" s="38">
        <v>3.02</v>
      </c>
      <c r="N6" s="38" t="s">
        <v>64</v>
      </c>
      <c r="O6" s="38" t="s">
        <v>65</v>
      </c>
      <c r="P6" s="38" t="s">
        <v>65</v>
      </c>
      <c r="Q6" s="38">
        <v>3.6</v>
      </c>
      <c r="R6" s="38">
        <v>2.87</v>
      </c>
      <c r="S6" s="38">
        <v>3.01</v>
      </c>
      <c r="U6" s="3" t="s">
        <v>81</v>
      </c>
      <c r="V6" s="50" t="s">
        <v>2</v>
      </c>
      <c r="W6" s="36">
        <v>5.2650462962962961E-2</v>
      </c>
      <c r="X6" s="36">
        <v>3.6238425925925924E-2</v>
      </c>
      <c r="Y6" s="38" t="s">
        <v>2</v>
      </c>
      <c r="Z6" s="36">
        <v>4.1805555555555554E-2</v>
      </c>
      <c r="AA6" s="36">
        <v>2.9722222222222223E-2</v>
      </c>
      <c r="AB6" s="4" t="s">
        <v>2</v>
      </c>
      <c r="AC6" s="4">
        <f t="shared" ref="AC6:AD8" si="3">(W6-Z6)/W6</f>
        <v>0.20597933611782809</v>
      </c>
      <c r="AD6" s="4">
        <f t="shared" si="3"/>
        <v>0.17981475566911523</v>
      </c>
    </row>
    <row r="7" spans="1:71" ht="19.5" thickBot="1" x14ac:dyDescent="0.35">
      <c r="A7" s="3" t="s">
        <v>66</v>
      </c>
      <c r="B7" s="36">
        <v>1.4201388888888888E-2</v>
      </c>
      <c r="C7" s="36">
        <v>1.6319444444444445E-2</v>
      </c>
      <c r="D7" s="36">
        <v>2.2361111111111109E-2</v>
      </c>
      <c r="E7" s="36">
        <v>7.3495370370370372E-3</v>
      </c>
      <c r="F7" s="36">
        <v>1.9756944444444445E-2</v>
      </c>
      <c r="G7" s="36">
        <v>1.6354166666666666E-2</v>
      </c>
      <c r="H7" s="37">
        <v>0.48</v>
      </c>
      <c r="I7" s="37">
        <v>0.17</v>
      </c>
      <c r="J7" s="37">
        <v>0.27</v>
      </c>
      <c r="K7" s="38">
        <v>2.88</v>
      </c>
      <c r="L7" s="38">
        <v>2.5</v>
      </c>
      <c r="M7" s="38">
        <v>3.02</v>
      </c>
      <c r="N7" s="38" t="s">
        <v>67</v>
      </c>
      <c r="O7" s="38" t="s">
        <v>68</v>
      </c>
      <c r="P7" s="38">
        <v>2370.46</v>
      </c>
      <c r="Q7" s="38">
        <v>1.49</v>
      </c>
      <c r="R7" s="38">
        <v>3.03</v>
      </c>
      <c r="S7" s="38">
        <v>1.23</v>
      </c>
      <c r="U7" s="3" t="s">
        <v>84</v>
      </c>
      <c r="V7" s="50" t="s">
        <v>2</v>
      </c>
      <c r="W7" s="36">
        <v>4.7199074074074074E-2</v>
      </c>
      <c r="X7" s="36">
        <v>4.0381944444444443E-2</v>
      </c>
      <c r="Y7" s="38" t="s">
        <v>2</v>
      </c>
      <c r="Z7" s="36">
        <v>4.6041666666666668E-2</v>
      </c>
      <c r="AA7" s="36">
        <v>2.6388888888888889E-2</v>
      </c>
      <c r="AB7" s="4" t="s">
        <v>2</v>
      </c>
      <c r="AC7" s="4">
        <f t="shared" si="3"/>
        <v>2.4521824423737088E-2</v>
      </c>
      <c r="AD7" s="4">
        <f t="shared" si="3"/>
        <v>0.34651762682717108</v>
      </c>
    </row>
    <row r="8" spans="1:71" ht="19.5" thickBot="1" x14ac:dyDescent="0.35">
      <c r="A8" s="3" t="s">
        <v>69</v>
      </c>
      <c r="B8" s="36">
        <v>1.773148148148148E-2</v>
      </c>
      <c r="C8" s="36">
        <v>1.6087962962962964E-2</v>
      </c>
      <c r="D8" s="38" t="s">
        <v>49</v>
      </c>
      <c r="E8" s="36">
        <v>7.3495370370370372E-3</v>
      </c>
      <c r="F8" s="36">
        <v>1.9756944444444445E-2</v>
      </c>
      <c r="G8" s="36">
        <v>1.6354166666666666E-2</v>
      </c>
      <c r="H8" s="37">
        <v>0.59</v>
      </c>
      <c r="I8" s="37">
        <v>0.19</v>
      </c>
      <c r="J8" s="38" t="s">
        <v>70</v>
      </c>
      <c r="K8" s="38">
        <v>2.88</v>
      </c>
      <c r="L8" s="38">
        <v>2.5</v>
      </c>
      <c r="M8" s="38">
        <v>3.02</v>
      </c>
      <c r="N8" s="38" t="s">
        <v>67</v>
      </c>
      <c r="O8" s="38" t="s">
        <v>68</v>
      </c>
      <c r="P8" s="38">
        <v>2370.46</v>
      </c>
      <c r="Q8" s="38">
        <v>1.19</v>
      </c>
      <c r="R8" s="38">
        <v>3.07</v>
      </c>
      <c r="S8" s="38" t="s">
        <v>70</v>
      </c>
      <c r="U8" s="3" t="s">
        <v>85</v>
      </c>
      <c r="V8" s="50" t="s">
        <v>2</v>
      </c>
      <c r="W8" s="36">
        <v>3.7870370370370374E-2</v>
      </c>
      <c r="X8" s="36">
        <v>4.0451388888888891E-2</v>
      </c>
      <c r="Y8" s="38" t="s">
        <v>2</v>
      </c>
      <c r="Z8" s="36">
        <v>3.4027777777777775E-2</v>
      </c>
      <c r="AA8" s="36">
        <v>3.1099537037037037E-2</v>
      </c>
      <c r="AB8" s="4" t="s">
        <v>2</v>
      </c>
      <c r="AC8" s="4">
        <f t="shared" si="3"/>
        <v>0.10146699266503684</v>
      </c>
      <c r="AD8" s="4">
        <f t="shared" si="3"/>
        <v>0.23118741058655226</v>
      </c>
    </row>
    <row r="9" spans="1:71" ht="19.5" thickBot="1" x14ac:dyDescent="0.35">
      <c r="A9" s="3" t="s">
        <v>71</v>
      </c>
      <c r="B9" s="36">
        <v>1.6192129629629629E-2</v>
      </c>
      <c r="C9" s="36">
        <v>1.6851851851851851E-2</v>
      </c>
      <c r="D9" s="38" t="s">
        <v>49</v>
      </c>
      <c r="E9" s="36">
        <v>7.3495370370370372E-3</v>
      </c>
      <c r="F9" s="36">
        <v>1.9756944444444445E-2</v>
      </c>
      <c r="G9" s="36">
        <v>1.6354166666666666E-2</v>
      </c>
      <c r="H9" s="37">
        <v>0.55000000000000004</v>
      </c>
      <c r="I9" s="37">
        <v>0.15</v>
      </c>
      <c r="J9" s="38" t="s">
        <v>70</v>
      </c>
      <c r="K9" s="38">
        <v>2.88</v>
      </c>
      <c r="L9" s="38">
        <v>2.5</v>
      </c>
      <c r="M9" s="38">
        <v>3.02</v>
      </c>
      <c r="N9" s="38" t="s">
        <v>67</v>
      </c>
      <c r="O9" s="38" t="s">
        <v>68</v>
      </c>
      <c r="P9" s="38">
        <v>2370.46</v>
      </c>
      <c r="Q9" s="38">
        <v>1.31</v>
      </c>
      <c r="R9" s="38">
        <v>2.93</v>
      </c>
      <c r="S9" s="38" t="s">
        <v>70</v>
      </c>
      <c r="U9" s="3" t="s">
        <v>103</v>
      </c>
      <c r="V9" s="50" t="s">
        <v>2</v>
      </c>
      <c r="W9" s="36">
        <v>8.2199074074074077E-2</v>
      </c>
      <c r="X9" s="36">
        <v>7.3159722222222223E-2</v>
      </c>
      <c r="Y9" s="38" t="s">
        <v>2</v>
      </c>
      <c r="Z9" s="36">
        <v>8.6354166666666662E-2</v>
      </c>
      <c r="AA9" s="36">
        <v>0.10276620370370371</v>
      </c>
      <c r="AB9" s="4" t="s">
        <v>2</v>
      </c>
      <c r="AC9" s="4">
        <f t="shared" ref="AC9" si="4">(Z9-W9)/Z9</f>
        <v>4.8116874413617394E-2</v>
      </c>
      <c r="AD9" s="4">
        <f t="shared" ref="AD9" si="5">(AA9-X9)/AA9</f>
        <v>0.2880955062507039</v>
      </c>
    </row>
    <row r="10" spans="1:71" ht="19.5" thickBot="1" x14ac:dyDescent="0.35">
      <c r="A10" s="3" t="s">
        <v>72</v>
      </c>
      <c r="B10" s="36">
        <v>1.4409722222222223E-2</v>
      </c>
      <c r="C10" s="36">
        <v>1.6782407407407409E-2</v>
      </c>
      <c r="D10" s="38" t="s">
        <v>49</v>
      </c>
      <c r="E10" s="36">
        <v>7.3495370370370372E-3</v>
      </c>
      <c r="F10" s="36">
        <v>1.9756944444444445E-2</v>
      </c>
      <c r="G10" s="36">
        <v>1.6354166666666666E-2</v>
      </c>
      <c r="H10" s="37">
        <v>0.49</v>
      </c>
      <c r="I10" s="37">
        <v>0.15</v>
      </c>
      <c r="J10" s="38" t="s">
        <v>70</v>
      </c>
      <c r="K10" s="38">
        <v>2.88</v>
      </c>
      <c r="L10" s="38">
        <v>2.5</v>
      </c>
      <c r="M10" s="38">
        <v>3.02</v>
      </c>
      <c r="N10" s="38" t="s">
        <v>67</v>
      </c>
      <c r="O10" s="38" t="s">
        <v>68</v>
      </c>
      <c r="P10" s="38">
        <v>2370.46</v>
      </c>
      <c r="Q10" s="38">
        <v>1.47</v>
      </c>
      <c r="R10" s="38">
        <v>2.94</v>
      </c>
      <c r="S10" s="38" t="s">
        <v>70</v>
      </c>
      <c r="U10" s="3" t="s">
        <v>45</v>
      </c>
      <c r="V10" s="36">
        <v>2.2337962962962962E-2</v>
      </c>
      <c r="W10" s="36">
        <v>5.8449074074074077E-2</v>
      </c>
      <c r="X10" s="36">
        <v>2.0370370370370372E-2</v>
      </c>
      <c r="Y10" s="36">
        <v>2.2499999999999999E-2</v>
      </c>
      <c r="Z10" s="36">
        <v>8.0868055555555554E-2</v>
      </c>
      <c r="AA10" s="36">
        <v>5.0034722222222223E-2</v>
      </c>
      <c r="AB10" s="4">
        <f t="shared" ref="AB10:AB12" si="6">(Y10-V10)/Y10</f>
        <v>7.2016460905349744E-3</v>
      </c>
      <c r="AC10" s="4">
        <f t="shared" ref="AC10" si="7">(Z10-W10)/Z10</f>
        <v>0.27722913983111486</v>
      </c>
      <c r="AD10" s="4">
        <f t="shared" ref="AD10:AD12" si="8">(AA10-X10)/AA10</f>
        <v>0.59287531806615779</v>
      </c>
    </row>
    <row r="11" spans="1:71" ht="19.5" thickBot="1" x14ac:dyDescent="0.35">
      <c r="A11" s="3" t="s">
        <v>63</v>
      </c>
      <c r="B11" s="36">
        <v>1.1574074074074073E-2</v>
      </c>
      <c r="C11" s="36">
        <v>2.5520833333333333E-2</v>
      </c>
      <c r="D11" s="36">
        <v>2.3877314814814816E-2</v>
      </c>
      <c r="E11" s="36">
        <v>1.4699074074074074E-2</v>
      </c>
      <c r="F11" s="36">
        <v>3.1354166666666669E-2</v>
      </c>
      <c r="G11" s="36">
        <v>2.5949074074074076E-2</v>
      </c>
      <c r="H11" s="37">
        <v>0.21</v>
      </c>
      <c r="I11" s="37">
        <v>0.19</v>
      </c>
      <c r="J11" s="37">
        <v>0.08</v>
      </c>
      <c r="K11" s="38">
        <v>2.88</v>
      </c>
      <c r="L11" s="38">
        <v>2.5</v>
      </c>
      <c r="M11" s="38">
        <v>3.02</v>
      </c>
      <c r="N11" s="38" t="s">
        <v>64</v>
      </c>
      <c r="O11" s="38" t="s">
        <v>65</v>
      </c>
      <c r="P11" s="38" t="s">
        <v>65</v>
      </c>
      <c r="Q11" s="38">
        <v>3.66</v>
      </c>
      <c r="R11" s="38">
        <v>3.07</v>
      </c>
      <c r="S11" s="38">
        <v>3.28</v>
      </c>
      <c r="U11" s="3" t="s">
        <v>46</v>
      </c>
      <c r="V11" s="36">
        <v>2.1168981481481483E-2</v>
      </c>
      <c r="W11" s="36">
        <v>5.3749999999999999E-2</v>
      </c>
      <c r="X11" s="36">
        <v>2.3148148148148147E-2</v>
      </c>
      <c r="Y11" s="36">
        <v>2.1099537037037038E-2</v>
      </c>
      <c r="Z11" s="38" t="s">
        <v>1</v>
      </c>
      <c r="AA11" s="36">
        <v>3.8275462962962963E-2</v>
      </c>
      <c r="AB11" s="4">
        <f t="shared" si="6"/>
        <v>-3.2912781130005698E-3</v>
      </c>
      <c r="AC11" s="4" t="s">
        <v>2</v>
      </c>
      <c r="AD11" s="4">
        <f t="shared" si="8"/>
        <v>0.3952222558209858</v>
      </c>
    </row>
    <row r="12" spans="1:71" ht="19.5" thickBot="1" x14ac:dyDescent="0.35">
      <c r="A12" s="3" t="s">
        <v>73</v>
      </c>
      <c r="B12" s="36">
        <v>1.0648148148148148E-2</v>
      </c>
      <c r="C12" s="36">
        <v>2.732638888888889E-2</v>
      </c>
      <c r="D12" s="36">
        <v>2.6064814814814815E-2</v>
      </c>
      <c r="E12" s="36">
        <v>1.4699074074074074E-2</v>
      </c>
      <c r="F12" s="36">
        <v>3.1354166666666669E-2</v>
      </c>
      <c r="G12" s="36">
        <v>2.5949074074074076E-2</v>
      </c>
      <c r="H12" s="37">
        <v>0.28000000000000003</v>
      </c>
      <c r="I12" s="37">
        <v>0.13</v>
      </c>
      <c r="J12" s="37">
        <v>0</v>
      </c>
      <c r="K12" s="38">
        <v>2.88</v>
      </c>
      <c r="L12" s="38">
        <v>2.5</v>
      </c>
      <c r="M12" s="38">
        <v>3.02</v>
      </c>
      <c r="N12" s="38" t="s">
        <v>64</v>
      </c>
      <c r="O12" s="38" t="s">
        <v>65</v>
      </c>
      <c r="P12" s="38" t="s">
        <v>65</v>
      </c>
      <c r="Q12" s="38">
        <v>3.98</v>
      </c>
      <c r="R12" s="38">
        <v>2.87</v>
      </c>
      <c r="S12" s="38">
        <v>3.01</v>
      </c>
      <c r="U12" s="3" t="s">
        <v>89</v>
      </c>
      <c r="V12" s="36">
        <v>2.2569444444444444E-2</v>
      </c>
      <c r="W12" s="36">
        <v>5.3009259259259256E-2</v>
      </c>
      <c r="X12" s="36">
        <v>2.0324074074074074E-2</v>
      </c>
      <c r="Y12" s="36">
        <v>0.03</v>
      </c>
      <c r="Z12" s="38" t="s">
        <v>1</v>
      </c>
      <c r="AA12" s="36">
        <v>3.2812500000000001E-2</v>
      </c>
      <c r="AB12" s="4">
        <f t="shared" si="6"/>
        <v>0.24768518518518517</v>
      </c>
      <c r="AC12" s="4" t="s">
        <v>2</v>
      </c>
      <c r="AD12" s="4">
        <f t="shared" si="8"/>
        <v>0.38059964726631396</v>
      </c>
    </row>
    <row r="13" spans="1:71" ht="19.5" thickBot="1" x14ac:dyDescent="0.35">
      <c r="A13" s="3" t="s">
        <v>74</v>
      </c>
      <c r="B13" s="36">
        <v>5.0879629629629629E-2</v>
      </c>
      <c r="C13" s="36">
        <v>6.1805555555555558E-2</v>
      </c>
      <c r="D13" s="36">
        <v>4.0543981481481479E-2</v>
      </c>
      <c r="E13" s="36">
        <v>2.3425925925925926E-2</v>
      </c>
      <c r="F13" s="36">
        <v>5.6527777777777781E-2</v>
      </c>
      <c r="G13" s="36">
        <v>4.6793981481481478E-2</v>
      </c>
      <c r="H13" s="37">
        <v>0.54</v>
      </c>
      <c r="I13" s="37">
        <v>0.09</v>
      </c>
      <c r="J13" s="37">
        <v>0.13</v>
      </c>
      <c r="K13" s="38">
        <v>2.88</v>
      </c>
      <c r="L13" s="38">
        <v>2.5</v>
      </c>
      <c r="M13" s="38">
        <v>3.02</v>
      </c>
      <c r="N13" s="38" t="s">
        <v>75</v>
      </c>
      <c r="O13" s="38" t="s">
        <v>76</v>
      </c>
      <c r="P13" s="38">
        <v>6783.87</v>
      </c>
      <c r="Q13" s="38">
        <v>1.33</v>
      </c>
      <c r="R13" s="38">
        <v>2.29</v>
      </c>
      <c r="S13" s="38">
        <v>1.94</v>
      </c>
      <c r="U13" s="3" t="s">
        <v>98</v>
      </c>
      <c r="V13" s="38" t="s">
        <v>49</v>
      </c>
      <c r="W13" s="36">
        <v>4.4363425925925924E-2</v>
      </c>
      <c r="X13" s="36">
        <v>1.6087962962962964E-2</v>
      </c>
      <c r="Y13" s="38" t="s">
        <v>49</v>
      </c>
      <c r="Z13" s="36">
        <v>6.25E-2</v>
      </c>
      <c r="AA13" s="36">
        <v>2.6458333333333334E-2</v>
      </c>
      <c r="AB13" s="4" t="s">
        <v>2</v>
      </c>
      <c r="AC13" s="4">
        <f t="shared" ref="AC13:AC14" si="9">(Z13-W13)/Z13</f>
        <v>0.29018518518518521</v>
      </c>
      <c r="AD13" s="4">
        <f t="shared" ref="AD13" si="10">(AA13-X13)/AA13</f>
        <v>0.39195100612423445</v>
      </c>
    </row>
    <row r="14" spans="1:71" ht="19.5" thickBot="1" x14ac:dyDescent="0.35">
      <c r="A14" s="3" t="s">
        <v>77</v>
      </c>
      <c r="B14" s="36">
        <v>3.7708333333333337E-2</v>
      </c>
      <c r="C14" s="36">
        <v>6.25E-2</v>
      </c>
      <c r="D14" s="36">
        <v>3.6481481481481483E-2</v>
      </c>
      <c r="E14" s="36">
        <v>2.3425925925925926E-2</v>
      </c>
      <c r="F14" s="36">
        <v>5.6527777777777781E-2</v>
      </c>
      <c r="G14" s="36">
        <v>4.6793981481481478E-2</v>
      </c>
      <c r="H14" s="37">
        <v>0.38</v>
      </c>
      <c r="I14" s="37">
        <v>0.1</v>
      </c>
      <c r="J14" s="37">
        <v>0.22</v>
      </c>
      <c r="K14" s="38">
        <v>2.88</v>
      </c>
      <c r="L14" s="38">
        <v>2.5</v>
      </c>
      <c r="M14" s="38">
        <v>3.02</v>
      </c>
      <c r="N14" s="38" t="s">
        <v>75</v>
      </c>
      <c r="O14" s="38" t="s">
        <v>76</v>
      </c>
      <c r="P14" s="38">
        <v>6783.87</v>
      </c>
      <c r="Q14" s="38">
        <v>1.79</v>
      </c>
      <c r="R14" s="38">
        <v>2.2599999999999998</v>
      </c>
      <c r="S14" s="38">
        <v>2.15</v>
      </c>
      <c r="U14" s="3" t="s">
        <v>101</v>
      </c>
      <c r="V14" s="38" t="s">
        <v>49</v>
      </c>
      <c r="W14" s="36">
        <v>3.1446759259259258E-2</v>
      </c>
      <c r="X14" s="38" t="s">
        <v>49</v>
      </c>
      <c r="Y14" s="38" t="s">
        <v>49</v>
      </c>
      <c r="Z14" s="36">
        <v>4.8611111111111112E-2</v>
      </c>
      <c r="AA14" s="38" t="s">
        <v>49</v>
      </c>
      <c r="AB14" s="4" t="s">
        <v>2</v>
      </c>
      <c r="AC14" s="4">
        <f t="shared" si="9"/>
        <v>0.35309523809523813</v>
      </c>
      <c r="AD14" s="4" t="s">
        <v>2</v>
      </c>
    </row>
    <row r="15" spans="1:71" ht="19.5" thickBot="1" x14ac:dyDescent="0.35">
      <c r="A15" s="3" t="s">
        <v>78</v>
      </c>
      <c r="B15" s="36">
        <v>4.2858796296296298E-2</v>
      </c>
      <c r="C15" s="36">
        <v>5.9421296296296298E-2</v>
      </c>
      <c r="D15" s="36">
        <v>4.4918981481481483E-2</v>
      </c>
      <c r="E15" s="36">
        <v>2.3425925925925926E-2</v>
      </c>
      <c r="F15" s="36">
        <v>5.6527777777777781E-2</v>
      </c>
      <c r="G15" s="36">
        <v>4.6793981481481478E-2</v>
      </c>
      <c r="H15" s="37">
        <v>0.45</v>
      </c>
      <c r="I15" s="37">
        <v>0.05</v>
      </c>
      <c r="J15" s="37">
        <v>0.04</v>
      </c>
      <c r="K15" s="38">
        <v>2.88</v>
      </c>
      <c r="L15" s="38">
        <v>2.5</v>
      </c>
      <c r="M15" s="38">
        <v>3.02</v>
      </c>
      <c r="N15" s="38" t="s">
        <v>75</v>
      </c>
      <c r="O15" s="38" t="s">
        <v>76</v>
      </c>
      <c r="P15" s="38">
        <v>6783.87</v>
      </c>
      <c r="Q15" s="38">
        <v>1.57</v>
      </c>
      <c r="R15" s="38">
        <v>2.38</v>
      </c>
      <c r="S15" s="38">
        <v>1.75</v>
      </c>
    </row>
    <row r="16" spans="1:71" ht="19.5" thickBot="1" x14ac:dyDescent="0.35">
      <c r="A16" s="3" t="s">
        <v>79</v>
      </c>
      <c r="B16" s="36">
        <v>3.321759259259259E-2</v>
      </c>
      <c r="C16" s="38" t="s">
        <v>49</v>
      </c>
      <c r="D16" s="38" t="s">
        <v>49</v>
      </c>
      <c r="E16" s="36">
        <v>2.3425925925925926E-2</v>
      </c>
      <c r="F16" s="36">
        <v>5.6527777777777781E-2</v>
      </c>
      <c r="G16" s="36">
        <v>4.6793981481481478E-2</v>
      </c>
      <c r="H16" s="37">
        <v>0.28999999999999998</v>
      </c>
      <c r="I16" s="38" t="s">
        <v>70</v>
      </c>
      <c r="J16" s="38" t="s">
        <v>70</v>
      </c>
      <c r="K16" s="38">
        <v>2.88</v>
      </c>
      <c r="L16" s="38">
        <v>2.5</v>
      </c>
      <c r="M16" s="38">
        <v>3.02</v>
      </c>
      <c r="N16" s="38" t="s">
        <v>75</v>
      </c>
      <c r="O16" s="38" t="s">
        <v>76</v>
      </c>
      <c r="P16" s="38">
        <v>6783.87</v>
      </c>
      <c r="Q16" s="38">
        <v>2.0299999999999998</v>
      </c>
      <c r="R16" s="38" t="s">
        <v>70</v>
      </c>
      <c r="S16" s="38" t="s">
        <v>70</v>
      </c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74" ht="19.5" thickBot="1" x14ac:dyDescent="0.35">
      <c r="A17" s="3" t="s">
        <v>80</v>
      </c>
      <c r="B17" s="36">
        <v>4.2592592592592592E-2</v>
      </c>
      <c r="C17" s="38" t="s">
        <v>49</v>
      </c>
      <c r="D17" s="38" t="s">
        <v>49</v>
      </c>
      <c r="E17" s="36">
        <v>2.3425925925925926E-2</v>
      </c>
      <c r="F17" s="36">
        <v>5.6527777777777781E-2</v>
      </c>
      <c r="G17" s="36">
        <v>4.6793981481481478E-2</v>
      </c>
      <c r="H17" s="37">
        <v>0.45</v>
      </c>
      <c r="I17" s="38" t="s">
        <v>70</v>
      </c>
      <c r="J17" s="38" t="s">
        <v>70</v>
      </c>
      <c r="K17" s="38">
        <v>2.88</v>
      </c>
      <c r="L17" s="38">
        <v>2.5</v>
      </c>
      <c r="M17" s="38">
        <v>3.02</v>
      </c>
      <c r="N17" s="38" t="s">
        <v>75</v>
      </c>
      <c r="O17" s="38" t="s">
        <v>76</v>
      </c>
      <c r="P17" s="38">
        <v>6783.87</v>
      </c>
      <c r="Q17" s="38">
        <v>1.58</v>
      </c>
      <c r="R17" s="38" t="s">
        <v>70</v>
      </c>
      <c r="S17" s="38" t="s">
        <v>70</v>
      </c>
      <c r="T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4" ht="19.5" thickBot="1" x14ac:dyDescent="0.35">
      <c r="A18" s="3" t="s">
        <v>74</v>
      </c>
      <c r="B18" s="36">
        <v>2.5937499999999999E-2</v>
      </c>
      <c r="C18" s="36">
        <v>4.8888888888888891E-2</v>
      </c>
      <c r="D18" s="36">
        <v>2.5810185185185186E-2</v>
      </c>
      <c r="E18" s="36">
        <v>2.3425925925925926E-2</v>
      </c>
      <c r="F18" s="36">
        <v>5.6527777777777781E-2</v>
      </c>
      <c r="G18" s="36">
        <v>4.6793981481481478E-2</v>
      </c>
      <c r="H18" s="37">
        <v>0.1</v>
      </c>
      <c r="I18" s="37">
        <v>0.14000000000000001</v>
      </c>
      <c r="J18" s="37">
        <v>0.45</v>
      </c>
      <c r="K18" s="38">
        <v>2.88</v>
      </c>
      <c r="L18" s="38">
        <v>2.5</v>
      </c>
      <c r="M18" s="38">
        <v>3.02</v>
      </c>
      <c r="N18" s="38" t="s">
        <v>75</v>
      </c>
      <c r="O18" s="38" t="s">
        <v>76</v>
      </c>
      <c r="P18" s="38">
        <v>6783.87</v>
      </c>
      <c r="Q18" s="38">
        <v>2.6</v>
      </c>
      <c r="R18" s="38">
        <v>2.89</v>
      </c>
      <c r="S18" s="38">
        <v>3.04</v>
      </c>
    </row>
    <row r="19" spans="1:74" s="77" customFormat="1" ht="19.5" thickBot="1" x14ac:dyDescent="0.35">
      <c r="A19" s="3" t="s">
        <v>77</v>
      </c>
      <c r="B19" s="36">
        <v>2.0543981481481483E-2</v>
      </c>
      <c r="C19" s="36">
        <v>4.6400462962962963E-2</v>
      </c>
      <c r="D19" s="36">
        <v>2.3807870370370372E-2</v>
      </c>
      <c r="E19" s="36">
        <v>2.3425925925925926E-2</v>
      </c>
      <c r="F19" s="36">
        <v>5.6527777777777781E-2</v>
      </c>
      <c r="G19" s="36">
        <v>4.6793981481481478E-2</v>
      </c>
      <c r="H19" s="37">
        <v>0.12</v>
      </c>
      <c r="I19" s="37">
        <v>0.18</v>
      </c>
      <c r="J19" s="37">
        <v>0.49</v>
      </c>
      <c r="K19" s="38">
        <v>2.88</v>
      </c>
      <c r="L19" s="38">
        <v>2.5</v>
      </c>
      <c r="M19" s="38">
        <v>3.02</v>
      </c>
      <c r="N19" s="38" t="s">
        <v>75</v>
      </c>
      <c r="O19" s="38" t="s">
        <v>76</v>
      </c>
      <c r="P19" s="38">
        <v>6783.87</v>
      </c>
      <c r="Q19" s="38">
        <v>3.28</v>
      </c>
      <c r="R19" s="38">
        <v>3.05</v>
      </c>
      <c r="S19" s="38">
        <v>3.3</v>
      </c>
    </row>
    <row r="20" spans="1:74" s="77" customFormat="1" ht="20.25" thickBot="1" x14ac:dyDescent="0.4">
      <c r="A20" s="78" t="s">
        <v>116</v>
      </c>
      <c r="B20" s="79" t="s">
        <v>2</v>
      </c>
      <c r="C20" s="80">
        <v>1.5173611111111112E-2</v>
      </c>
      <c r="D20" s="80">
        <v>1.9444444444444445E-2</v>
      </c>
      <c r="E20" s="79" t="s">
        <v>2</v>
      </c>
      <c r="F20" s="80">
        <v>2.2766203703703705E-2</v>
      </c>
      <c r="G20" s="80">
        <v>3.7199074074074072E-2</v>
      </c>
      <c r="H20" s="79" t="s">
        <v>119</v>
      </c>
      <c r="I20" s="81">
        <v>0.33</v>
      </c>
      <c r="J20" s="81">
        <v>0.48</v>
      </c>
      <c r="K20" s="79" t="s">
        <v>2</v>
      </c>
      <c r="L20" s="79">
        <v>2.5</v>
      </c>
      <c r="M20" s="79">
        <v>1.53</v>
      </c>
      <c r="N20" s="79">
        <v>0</v>
      </c>
      <c r="O20" s="79" t="s">
        <v>120</v>
      </c>
      <c r="P20" s="76">
        <v>2778.08</v>
      </c>
      <c r="Q20" s="79" t="s">
        <v>2</v>
      </c>
      <c r="R20" s="79">
        <v>3.75</v>
      </c>
      <c r="S20" s="79">
        <v>1.65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</row>
    <row r="21" spans="1:74" s="77" customFormat="1" ht="20.25" thickBot="1" x14ac:dyDescent="0.4">
      <c r="A21" s="73" t="s">
        <v>117</v>
      </c>
      <c r="B21" s="76" t="s">
        <v>2</v>
      </c>
      <c r="C21" s="74">
        <v>1.8877314814814816E-2</v>
      </c>
      <c r="D21" s="74">
        <v>1.9444444444444445E-2</v>
      </c>
      <c r="E21" s="76" t="s">
        <v>2</v>
      </c>
      <c r="F21" s="74">
        <v>2.2766203703703705E-2</v>
      </c>
      <c r="G21" s="74">
        <v>3.7199074074074072E-2</v>
      </c>
      <c r="H21" s="76" t="s">
        <v>119</v>
      </c>
      <c r="I21" s="75">
        <v>0.17</v>
      </c>
      <c r="J21" s="75">
        <v>0.48</v>
      </c>
      <c r="K21" s="76" t="s">
        <v>2</v>
      </c>
      <c r="L21" s="76">
        <v>2.5</v>
      </c>
      <c r="M21" s="76">
        <v>1.53</v>
      </c>
      <c r="N21" s="76">
        <v>0</v>
      </c>
      <c r="O21" s="76" t="s">
        <v>120</v>
      </c>
      <c r="P21" s="76">
        <v>2778.08</v>
      </c>
      <c r="Q21" s="76" t="s">
        <v>2</v>
      </c>
      <c r="R21" s="76">
        <v>3.02</v>
      </c>
      <c r="S21" s="76">
        <v>1.65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</row>
    <row r="22" spans="1:74" s="77" customFormat="1" ht="20.25" thickBot="1" x14ac:dyDescent="0.4">
      <c r="A22" s="73" t="s">
        <v>118</v>
      </c>
      <c r="B22" s="76" t="s">
        <v>2</v>
      </c>
      <c r="C22" s="74">
        <v>1.6006944444444445E-2</v>
      </c>
      <c r="D22" s="74">
        <v>2.1250000000000002E-2</v>
      </c>
      <c r="E22" s="76" t="s">
        <v>2</v>
      </c>
      <c r="F22" s="74">
        <v>2.2766203703703705E-2</v>
      </c>
      <c r="G22" s="74">
        <v>3.7199074074074072E-2</v>
      </c>
      <c r="H22" s="76" t="s">
        <v>119</v>
      </c>
      <c r="I22" s="75">
        <v>0.3</v>
      </c>
      <c r="J22" s="75">
        <v>0.43</v>
      </c>
      <c r="K22" s="76" t="s">
        <v>2</v>
      </c>
      <c r="L22" s="76">
        <v>2.5</v>
      </c>
      <c r="M22" s="76">
        <v>1.53</v>
      </c>
      <c r="N22" s="76">
        <v>0</v>
      </c>
      <c r="O22" s="76" t="s">
        <v>120</v>
      </c>
      <c r="P22" s="76">
        <v>2778.08</v>
      </c>
      <c r="Q22" s="76" t="s">
        <v>2</v>
      </c>
      <c r="R22" s="76">
        <v>3.56</v>
      </c>
      <c r="S22" s="76">
        <v>1.51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3" spans="1:74" ht="15.75" thickBo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74" ht="19.5" thickBot="1" x14ac:dyDescent="0.35">
      <c r="A24" s="44" t="s">
        <v>3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74" ht="19.5" thickBot="1" x14ac:dyDescent="0.35">
      <c r="A25" s="40" t="s">
        <v>81</v>
      </c>
      <c r="B25" s="38" t="s">
        <v>2</v>
      </c>
      <c r="C25" s="36">
        <v>5.2650462962962961E-2</v>
      </c>
      <c r="D25" s="36">
        <v>3.6238425925925924E-2</v>
      </c>
      <c r="E25" s="38" t="s">
        <v>2</v>
      </c>
      <c r="F25" s="36">
        <v>6.8263888888888888E-2</v>
      </c>
      <c r="G25" s="36">
        <v>8.6631944444444442E-2</v>
      </c>
      <c r="H25" s="38" t="s">
        <v>70</v>
      </c>
      <c r="I25" s="37">
        <v>0.23</v>
      </c>
      <c r="J25" s="37">
        <v>0.57999999999999996</v>
      </c>
      <c r="K25" s="38">
        <v>2.88</v>
      </c>
      <c r="L25" s="38">
        <v>2.5</v>
      </c>
      <c r="M25" s="38">
        <v>3.02</v>
      </c>
      <c r="N25" s="38" t="s">
        <v>2</v>
      </c>
      <c r="O25" s="38" t="s">
        <v>82</v>
      </c>
      <c r="P25" s="38" t="s">
        <v>83</v>
      </c>
      <c r="Q25" s="38" t="s">
        <v>70</v>
      </c>
      <c r="R25" s="38">
        <v>3.24</v>
      </c>
      <c r="S25" s="38">
        <v>2.62</v>
      </c>
    </row>
    <row r="26" spans="1:74" ht="19.5" thickBot="1" x14ac:dyDescent="0.35">
      <c r="A26" s="40" t="s">
        <v>84</v>
      </c>
      <c r="B26" s="38" t="s">
        <v>2</v>
      </c>
      <c r="C26" s="36">
        <v>4.7199074074074074E-2</v>
      </c>
      <c r="D26" s="36">
        <v>4.0381944444444443E-2</v>
      </c>
      <c r="E26" s="38" t="s">
        <v>2</v>
      </c>
      <c r="F26" s="36">
        <v>6.8263888888888888E-2</v>
      </c>
      <c r="G26" s="36">
        <v>8.6631944444444442E-2</v>
      </c>
      <c r="H26" s="38" t="s">
        <v>70</v>
      </c>
      <c r="I26" s="37">
        <v>0.31</v>
      </c>
      <c r="J26" s="37">
        <v>0.53</v>
      </c>
      <c r="K26" s="38">
        <v>2.88</v>
      </c>
      <c r="L26" s="38">
        <v>2.5</v>
      </c>
      <c r="M26" s="38">
        <v>3.02</v>
      </c>
      <c r="N26" s="38" t="s">
        <v>2</v>
      </c>
      <c r="O26" s="38" t="s">
        <v>82</v>
      </c>
      <c r="P26" s="38" t="s">
        <v>83</v>
      </c>
      <c r="Q26" s="38" t="s">
        <v>70</v>
      </c>
      <c r="R26" s="38">
        <v>3.62</v>
      </c>
      <c r="S26" s="38">
        <v>2.35</v>
      </c>
    </row>
    <row r="27" spans="1:74" ht="19.5" thickBot="1" x14ac:dyDescent="0.35">
      <c r="A27" s="40" t="s">
        <v>85</v>
      </c>
      <c r="B27" s="38" t="s">
        <v>2</v>
      </c>
      <c r="C27" s="36">
        <v>3.7870370370370374E-2</v>
      </c>
      <c r="D27" s="36">
        <v>4.0451388888888891E-2</v>
      </c>
      <c r="E27" s="38" t="s">
        <v>2</v>
      </c>
      <c r="F27" s="36">
        <v>6.8263888888888888E-2</v>
      </c>
      <c r="G27" s="36">
        <v>8.6631944444444442E-2</v>
      </c>
      <c r="H27" s="38" t="s">
        <v>70</v>
      </c>
      <c r="I27" s="37">
        <v>0.45</v>
      </c>
      <c r="J27" s="37">
        <v>0.53</v>
      </c>
      <c r="K27" s="38">
        <v>2.88</v>
      </c>
      <c r="L27" s="38">
        <v>2.5</v>
      </c>
      <c r="M27" s="38">
        <v>3.02</v>
      </c>
      <c r="N27" s="38" t="s">
        <v>2</v>
      </c>
      <c r="O27" s="38" t="s">
        <v>82</v>
      </c>
      <c r="P27" s="38" t="s">
        <v>83</v>
      </c>
      <c r="Q27" s="38" t="s">
        <v>70</v>
      </c>
      <c r="R27" s="38">
        <v>4.51</v>
      </c>
      <c r="S27" s="38">
        <v>2.34</v>
      </c>
    </row>
    <row r="28" spans="1:74" ht="19.5" thickBot="1" x14ac:dyDescent="0.35">
      <c r="A28" s="40" t="s">
        <v>81</v>
      </c>
      <c r="B28" s="38" t="s">
        <v>2</v>
      </c>
      <c r="C28" s="36">
        <v>4.1805555555555554E-2</v>
      </c>
      <c r="D28" s="36">
        <v>2.9722222222222223E-2</v>
      </c>
      <c r="E28" s="38" t="s">
        <v>2</v>
      </c>
      <c r="F28" s="36">
        <v>6.8263888888888888E-2</v>
      </c>
      <c r="G28" s="36">
        <v>8.6631944444444442E-2</v>
      </c>
      <c r="H28" s="38" t="s">
        <v>70</v>
      </c>
      <c r="I28" s="37">
        <v>0.39</v>
      </c>
      <c r="J28" s="37">
        <v>0.66</v>
      </c>
      <c r="K28" s="38">
        <v>2.88</v>
      </c>
      <c r="L28" s="38">
        <v>2.5</v>
      </c>
      <c r="M28" s="38">
        <v>3.02</v>
      </c>
      <c r="N28" s="38" t="s">
        <v>2</v>
      </c>
      <c r="O28" s="38" t="s">
        <v>82</v>
      </c>
      <c r="P28" s="38" t="s">
        <v>83</v>
      </c>
      <c r="Q28" s="38" t="s">
        <v>70</v>
      </c>
      <c r="R28" s="38">
        <v>4.08</v>
      </c>
      <c r="S28" s="38">
        <v>3.19</v>
      </c>
    </row>
    <row r="29" spans="1:74" ht="19.5" thickBot="1" x14ac:dyDescent="0.35">
      <c r="A29" s="40" t="s">
        <v>84</v>
      </c>
      <c r="B29" s="38" t="s">
        <v>2</v>
      </c>
      <c r="C29" s="36">
        <v>4.6041666666666668E-2</v>
      </c>
      <c r="D29" s="36">
        <v>2.6388888888888889E-2</v>
      </c>
      <c r="E29" s="38" t="s">
        <v>2</v>
      </c>
      <c r="F29" s="36">
        <v>6.8263888888888888E-2</v>
      </c>
      <c r="G29" s="36">
        <v>8.6631944444444442E-2</v>
      </c>
      <c r="H29" s="38" t="s">
        <v>70</v>
      </c>
      <c r="I29" s="37">
        <v>0.33</v>
      </c>
      <c r="J29" s="37">
        <v>0.7</v>
      </c>
      <c r="K29" s="38">
        <v>2.88</v>
      </c>
      <c r="L29" s="38">
        <v>2.5</v>
      </c>
      <c r="M29" s="38">
        <v>3.02</v>
      </c>
      <c r="N29" s="38" t="s">
        <v>2</v>
      </c>
      <c r="O29" s="38" t="s">
        <v>82</v>
      </c>
      <c r="P29" s="38" t="s">
        <v>83</v>
      </c>
      <c r="Q29" s="38" t="s">
        <v>70</v>
      </c>
      <c r="R29" s="38">
        <v>3.71</v>
      </c>
      <c r="S29" s="38">
        <v>3.59</v>
      </c>
    </row>
    <row r="30" spans="1:74" ht="19.5" thickBot="1" x14ac:dyDescent="0.35">
      <c r="A30" s="40" t="s">
        <v>85</v>
      </c>
      <c r="B30" s="38" t="s">
        <v>2</v>
      </c>
      <c r="C30" s="36">
        <v>3.4027777777777775E-2</v>
      </c>
      <c r="D30" s="36">
        <v>3.1099537037037037E-2</v>
      </c>
      <c r="E30" s="38" t="s">
        <v>2</v>
      </c>
      <c r="F30" s="36">
        <v>6.8263888888888888E-2</v>
      </c>
      <c r="G30" s="36">
        <v>8.6631944444444442E-2</v>
      </c>
      <c r="H30" s="38" t="s">
        <v>70</v>
      </c>
      <c r="I30" s="37">
        <v>0.5</v>
      </c>
      <c r="J30" s="37">
        <v>0.64</v>
      </c>
      <c r="K30" s="38">
        <v>2.88</v>
      </c>
      <c r="L30" s="38">
        <v>2.5</v>
      </c>
      <c r="M30" s="38">
        <v>3.02</v>
      </c>
      <c r="N30" s="38" t="s">
        <v>2</v>
      </c>
      <c r="O30" s="38" t="s">
        <v>82</v>
      </c>
      <c r="P30" s="38" t="s">
        <v>83</v>
      </c>
      <c r="Q30" s="38" t="s">
        <v>70</v>
      </c>
      <c r="R30" s="38">
        <v>5.0199999999999996</v>
      </c>
      <c r="S30" s="38">
        <v>3.05</v>
      </c>
    </row>
    <row r="31" spans="1:74" ht="19.5" thickBot="1" x14ac:dyDescent="0.35">
      <c r="A31" s="40" t="s">
        <v>86</v>
      </c>
      <c r="B31" s="38" t="s">
        <v>2</v>
      </c>
      <c r="C31" s="36">
        <v>3.502314814814815E-2</v>
      </c>
      <c r="D31" s="36">
        <v>1.337962962962963E-2</v>
      </c>
      <c r="E31" s="38" t="s">
        <v>2</v>
      </c>
      <c r="F31" s="36">
        <v>4.6909722222222221E-2</v>
      </c>
      <c r="G31" s="36">
        <v>7.2384259259259259E-2</v>
      </c>
      <c r="H31" s="38" t="s">
        <v>70</v>
      </c>
      <c r="I31" s="37">
        <v>0.25</v>
      </c>
      <c r="J31" s="37">
        <v>0.9</v>
      </c>
      <c r="K31" s="38">
        <v>2.88</v>
      </c>
      <c r="L31" s="38">
        <v>2.5</v>
      </c>
      <c r="M31" s="38">
        <v>3.02</v>
      </c>
      <c r="N31" s="38" t="s">
        <v>2</v>
      </c>
      <c r="O31" s="38" t="s">
        <v>87</v>
      </c>
      <c r="P31" s="38">
        <v>5628.47</v>
      </c>
      <c r="Q31" s="38" t="s">
        <v>70</v>
      </c>
      <c r="R31" s="38">
        <v>3.35</v>
      </c>
      <c r="S31" s="49">
        <f>P31/D31/24/60/60</f>
        <v>4.8689186851211064</v>
      </c>
    </row>
    <row r="32" spans="1:74" ht="19.5" thickBot="1" x14ac:dyDescent="0.35">
      <c r="A32" s="45" t="s">
        <v>88</v>
      </c>
      <c r="B32" s="38" t="s">
        <v>2</v>
      </c>
      <c r="C32" s="36">
        <v>3.3449074074074076E-2</v>
      </c>
      <c r="D32" s="36">
        <v>1.6898148148148148E-2</v>
      </c>
      <c r="E32" s="38" t="s">
        <v>2</v>
      </c>
      <c r="F32" s="36">
        <v>4.6909722222222221E-2</v>
      </c>
      <c r="G32" s="36">
        <v>7.2384259259259259E-2</v>
      </c>
      <c r="H32" s="38" t="s">
        <v>70</v>
      </c>
      <c r="I32" s="37">
        <v>0.28999999999999998</v>
      </c>
      <c r="J32" s="37">
        <v>0.9</v>
      </c>
      <c r="K32" s="38">
        <v>2.88</v>
      </c>
      <c r="L32" s="38">
        <v>2.5</v>
      </c>
      <c r="M32" s="38">
        <v>3.02</v>
      </c>
      <c r="N32" s="38" t="s">
        <v>2</v>
      </c>
      <c r="O32" s="38" t="s">
        <v>87</v>
      </c>
      <c r="P32" s="38">
        <v>5628.47</v>
      </c>
      <c r="Q32" s="38" t="s">
        <v>70</v>
      </c>
      <c r="R32" s="38">
        <v>3.51</v>
      </c>
      <c r="S32" s="49">
        <f>P32/D32/24/60/60</f>
        <v>3.8551164383561645</v>
      </c>
    </row>
    <row r="33" spans="1:19" ht="19.5" thickBot="1" x14ac:dyDescent="0.35">
      <c r="A33" s="3" t="s">
        <v>45</v>
      </c>
      <c r="B33" s="36">
        <v>2.2499999999999999E-2</v>
      </c>
      <c r="C33" s="36">
        <v>8.0868055555555554E-2</v>
      </c>
      <c r="D33" s="36">
        <v>5.0034722222222223E-2</v>
      </c>
      <c r="E33" s="36">
        <v>3.412037037037037E-2</v>
      </c>
      <c r="F33" s="36">
        <v>8.1851851851851856E-2</v>
      </c>
      <c r="G33" s="36">
        <v>6.7754629629629623E-2</v>
      </c>
      <c r="H33" s="37">
        <v>0.34</v>
      </c>
      <c r="I33" s="37">
        <v>0.01</v>
      </c>
      <c r="J33" s="37">
        <v>0.26</v>
      </c>
      <c r="K33" s="38">
        <v>3.04</v>
      </c>
      <c r="L33" s="38">
        <v>2.5</v>
      </c>
      <c r="M33" s="38">
        <v>2.99</v>
      </c>
      <c r="N33" s="38" t="s">
        <v>47</v>
      </c>
      <c r="O33" s="38" t="s">
        <v>48</v>
      </c>
      <c r="P33" s="38" t="s">
        <v>48</v>
      </c>
      <c r="Q33" s="38">
        <v>4.37</v>
      </c>
      <c r="R33" s="38">
        <v>2.5299999999999998</v>
      </c>
      <c r="S33" s="38">
        <v>4.09</v>
      </c>
    </row>
    <row r="34" spans="1:19" ht="19.5" thickBot="1" x14ac:dyDescent="0.35">
      <c r="A34" s="3" t="s">
        <v>46</v>
      </c>
      <c r="B34" s="36">
        <v>2.1099537037037038E-2</v>
      </c>
      <c r="C34" s="38" t="s">
        <v>1</v>
      </c>
      <c r="D34" s="36">
        <v>3.8275462962962963E-2</v>
      </c>
      <c r="E34" s="36">
        <v>3.412037037037037E-2</v>
      </c>
      <c r="F34" s="36">
        <v>8.1851851851851856E-2</v>
      </c>
      <c r="G34" s="36">
        <v>6.7754629629629623E-2</v>
      </c>
      <c r="H34" s="37">
        <v>0.38</v>
      </c>
      <c r="I34" s="38" t="s">
        <v>70</v>
      </c>
      <c r="J34" s="37">
        <v>0.44</v>
      </c>
      <c r="K34" s="38">
        <v>3.04</v>
      </c>
      <c r="L34" s="38">
        <v>2.5</v>
      </c>
      <c r="M34" s="38">
        <v>2.99</v>
      </c>
      <c r="N34" s="38" t="s">
        <v>47</v>
      </c>
      <c r="O34" s="38" t="s">
        <v>48</v>
      </c>
      <c r="P34" s="38" t="s">
        <v>48</v>
      </c>
      <c r="Q34" s="38">
        <v>4.66</v>
      </c>
      <c r="R34" s="38" t="s">
        <v>70</v>
      </c>
      <c r="S34" s="38">
        <v>5.35</v>
      </c>
    </row>
    <row r="35" spans="1:19" ht="19.5" thickBot="1" x14ac:dyDescent="0.35">
      <c r="A35" s="3" t="s">
        <v>89</v>
      </c>
      <c r="B35" s="36">
        <v>0.03</v>
      </c>
      <c r="C35" s="38" t="s">
        <v>1</v>
      </c>
      <c r="D35" s="36">
        <v>3.2812500000000001E-2</v>
      </c>
      <c r="E35" s="36">
        <v>3.412037037037037E-2</v>
      </c>
      <c r="F35" s="36">
        <v>8.1851851851851856E-2</v>
      </c>
      <c r="G35" s="36">
        <v>6.7754629629629623E-2</v>
      </c>
      <c r="H35" s="37">
        <v>0.12</v>
      </c>
      <c r="I35" s="38" t="s">
        <v>70</v>
      </c>
      <c r="J35" s="37">
        <v>0.52</v>
      </c>
      <c r="K35" s="38">
        <v>3.04</v>
      </c>
      <c r="L35" s="38">
        <v>2.5</v>
      </c>
      <c r="M35" s="38">
        <v>2.99</v>
      </c>
      <c r="N35" s="38" t="s">
        <v>47</v>
      </c>
      <c r="O35" s="38" t="s">
        <v>48</v>
      </c>
      <c r="P35" s="38" t="s">
        <v>48</v>
      </c>
      <c r="Q35" s="38">
        <v>3.28</v>
      </c>
      <c r="R35" s="38" t="s">
        <v>70</v>
      </c>
      <c r="S35" s="38">
        <v>6.24</v>
      </c>
    </row>
    <row r="36" spans="1:19" ht="19.5" thickBot="1" x14ac:dyDescent="0.35">
      <c r="A36" s="3" t="s">
        <v>45</v>
      </c>
      <c r="B36" s="38" t="s">
        <v>49</v>
      </c>
      <c r="C36" s="36">
        <v>5.8449074074074077E-2</v>
      </c>
      <c r="D36" s="36">
        <v>2.0370370370370372E-2</v>
      </c>
      <c r="E36" s="36">
        <v>3.412037037037037E-2</v>
      </c>
      <c r="F36" s="36">
        <v>8.1851851851851856E-2</v>
      </c>
      <c r="G36" s="36">
        <v>6.7754629629629623E-2</v>
      </c>
      <c r="H36" s="38" t="s">
        <v>70</v>
      </c>
      <c r="I36" s="37">
        <v>0.28999999999999998</v>
      </c>
      <c r="J36" s="37">
        <v>0.7</v>
      </c>
      <c r="K36" s="38">
        <v>3.04</v>
      </c>
      <c r="L36" s="38">
        <v>2.5</v>
      </c>
      <c r="M36" s="38">
        <v>2.99</v>
      </c>
      <c r="N36" s="38" t="s">
        <v>47</v>
      </c>
      <c r="O36" s="38" t="s">
        <v>48</v>
      </c>
      <c r="P36" s="38" t="s">
        <v>48</v>
      </c>
      <c r="Q36" s="38" t="s">
        <v>70</v>
      </c>
      <c r="R36" s="38">
        <v>3.5</v>
      </c>
      <c r="S36" s="38">
        <v>10.050000000000001</v>
      </c>
    </row>
    <row r="37" spans="1:19" ht="19.5" thickBot="1" x14ac:dyDescent="0.35">
      <c r="A37" s="3" t="s">
        <v>46</v>
      </c>
      <c r="B37" s="38" t="s">
        <v>49</v>
      </c>
      <c r="C37" s="36">
        <v>5.3749999999999999E-2</v>
      </c>
      <c r="D37" s="36">
        <v>2.3148148148148147E-2</v>
      </c>
      <c r="E37" s="36">
        <v>3.412037037037037E-2</v>
      </c>
      <c r="F37" s="36">
        <v>8.1851851851851856E-2</v>
      </c>
      <c r="G37" s="36">
        <v>6.7754629629629623E-2</v>
      </c>
      <c r="H37" s="38" t="s">
        <v>70</v>
      </c>
      <c r="I37" s="37">
        <v>0.34</v>
      </c>
      <c r="J37" s="37">
        <v>0.66</v>
      </c>
      <c r="K37" s="38">
        <v>3.04</v>
      </c>
      <c r="L37" s="38">
        <v>2.5</v>
      </c>
      <c r="M37" s="38">
        <v>2.99</v>
      </c>
      <c r="N37" s="38" t="s">
        <v>47</v>
      </c>
      <c r="O37" s="38" t="s">
        <v>48</v>
      </c>
      <c r="P37" s="38" t="s">
        <v>48</v>
      </c>
      <c r="Q37" s="38" t="s">
        <v>70</v>
      </c>
      <c r="R37" s="38">
        <v>3.81</v>
      </c>
      <c r="S37" s="38">
        <v>8.84</v>
      </c>
    </row>
    <row r="38" spans="1:19" ht="19.5" thickBot="1" x14ac:dyDescent="0.35">
      <c r="A38" s="3" t="s">
        <v>89</v>
      </c>
      <c r="B38" s="38" t="s">
        <v>49</v>
      </c>
      <c r="C38" s="36">
        <v>5.3009259259259256E-2</v>
      </c>
      <c r="D38" s="36">
        <v>2.0324074074074074E-2</v>
      </c>
      <c r="E38" s="36">
        <v>3.412037037037037E-2</v>
      </c>
      <c r="F38" s="36">
        <v>8.1851851851851856E-2</v>
      </c>
      <c r="G38" s="36">
        <v>6.7754629629629623E-2</v>
      </c>
      <c r="H38" s="38" t="s">
        <v>70</v>
      </c>
      <c r="I38" s="37">
        <v>0.35</v>
      </c>
      <c r="J38" s="37">
        <v>0.7</v>
      </c>
      <c r="K38" s="38">
        <v>3.04</v>
      </c>
      <c r="L38" s="38">
        <v>2.5</v>
      </c>
      <c r="M38" s="38">
        <v>2.99</v>
      </c>
      <c r="N38" s="38" t="s">
        <v>47</v>
      </c>
      <c r="O38" s="38" t="s">
        <v>48</v>
      </c>
      <c r="P38" s="38" t="s">
        <v>48</v>
      </c>
      <c r="Q38" s="38" t="s">
        <v>70</v>
      </c>
      <c r="R38" s="38">
        <v>3.86</v>
      </c>
      <c r="S38" s="38">
        <v>10.07</v>
      </c>
    </row>
    <row r="39" spans="1:19" ht="19.5" thickBot="1" x14ac:dyDescent="0.35">
      <c r="A39" s="3" t="s">
        <v>90</v>
      </c>
      <c r="B39" s="36">
        <v>1.8981481481481481E-2</v>
      </c>
      <c r="C39" s="36">
        <v>6.3599537037037038E-2</v>
      </c>
      <c r="D39" s="36">
        <v>2.0949074074074075E-2</v>
      </c>
      <c r="E39" s="36">
        <v>3.0474537037037036E-2</v>
      </c>
      <c r="F39" s="36">
        <v>7.6215277777777785E-2</v>
      </c>
      <c r="G39" s="36">
        <v>6.3726851851851854E-2</v>
      </c>
      <c r="H39" s="37">
        <v>0.38</v>
      </c>
      <c r="I39" s="37">
        <v>0.17</v>
      </c>
      <c r="J39" s="37">
        <v>0.67</v>
      </c>
      <c r="K39" s="38">
        <v>2.88</v>
      </c>
      <c r="L39" s="38">
        <v>2.5</v>
      </c>
      <c r="M39" s="38">
        <v>3.02</v>
      </c>
      <c r="N39" s="38" t="s">
        <v>91</v>
      </c>
      <c r="O39" s="38" t="s">
        <v>92</v>
      </c>
      <c r="P39" s="38">
        <v>9146.2999999999993</v>
      </c>
      <c r="Q39" s="38">
        <v>4.88</v>
      </c>
      <c r="R39" s="38">
        <v>3</v>
      </c>
      <c r="S39" s="38">
        <v>5.05</v>
      </c>
    </row>
    <row r="40" spans="1:19" ht="19.5" thickBot="1" x14ac:dyDescent="0.35">
      <c r="A40" s="3" t="s">
        <v>93</v>
      </c>
      <c r="B40" s="36">
        <v>2.1805555555555557E-2</v>
      </c>
      <c r="C40" s="36">
        <v>5.0625000000000003E-2</v>
      </c>
      <c r="D40" s="36">
        <v>2.2361111111111109E-2</v>
      </c>
      <c r="E40" s="36">
        <v>3.0474537037037036E-2</v>
      </c>
      <c r="F40" s="36">
        <v>7.6215277777777785E-2</v>
      </c>
      <c r="G40" s="36">
        <v>6.3726851851851854E-2</v>
      </c>
      <c r="H40" s="37">
        <v>0.28000000000000003</v>
      </c>
      <c r="I40" s="37">
        <v>0.34</v>
      </c>
      <c r="J40" s="37">
        <v>0.65</v>
      </c>
      <c r="K40" s="38">
        <v>2.88</v>
      </c>
      <c r="L40" s="38">
        <v>2.5</v>
      </c>
      <c r="M40" s="38">
        <v>3.02</v>
      </c>
      <c r="N40" s="38" t="s">
        <v>91</v>
      </c>
      <c r="O40" s="38" t="s">
        <v>92</v>
      </c>
      <c r="P40" s="38">
        <v>9146.2999999999993</v>
      </c>
      <c r="Q40" s="38">
        <v>4.25</v>
      </c>
      <c r="R40" s="38">
        <v>3.76</v>
      </c>
      <c r="S40" s="38">
        <v>4.7300000000000004</v>
      </c>
    </row>
    <row r="41" spans="1:19" ht="19.5" thickBot="1" x14ac:dyDescent="0.35">
      <c r="A41" s="3" t="s">
        <v>94</v>
      </c>
      <c r="B41" s="36">
        <v>1.9756944444444445E-2</v>
      </c>
      <c r="C41" s="38" t="s">
        <v>49</v>
      </c>
      <c r="D41" s="38" t="s">
        <v>49</v>
      </c>
      <c r="E41" s="36">
        <v>3.0474537037037036E-2</v>
      </c>
      <c r="F41" s="36">
        <v>7.6215277777777785E-2</v>
      </c>
      <c r="G41" s="36">
        <v>6.3726851851851854E-2</v>
      </c>
      <c r="H41" s="37">
        <v>0.35</v>
      </c>
      <c r="I41" s="38" t="s">
        <v>70</v>
      </c>
      <c r="J41" s="38" t="s">
        <v>70</v>
      </c>
      <c r="K41" s="38">
        <v>2.88</v>
      </c>
      <c r="L41" s="38">
        <v>2.5</v>
      </c>
      <c r="M41" s="38">
        <v>3.02</v>
      </c>
      <c r="N41" s="38" t="s">
        <v>91</v>
      </c>
      <c r="O41" s="38" t="s">
        <v>92</v>
      </c>
      <c r="P41" s="38">
        <v>9146.2999999999993</v>
      </c>
      <c r="Q41" s="38">
        <v>4.6900000000000004</v>
      </c>
      <c r="R41" s="38" t="s">
        <v>70</v>
      </c>
      <c r="S41" s="38" t="s">
        <v>70</v>
      </c>
    </row>
    <row r="42" spans="1:19" ht="19.5" thickBot="1" x14ac:dyDescent="0.35">
      <c r="A42" s="3" t="s">
        <v>95</v>
      </c>
      <c r="B42" s="36">
        <v>2.3043981481481481E-2</v>
      </c>
      <c r="C42" s="38" t="s">
        <v>49</v>
      </c>
      <c r="D42" s="38" t="s">
        <v>49</v>
      </c>
      <c r="E42" s="36">
        <v>3.0474537037037036E-2</v>
      </c>
      <c r="F42" s="36">
        <v>7.6215277777777785E-2</v>
      </c>
      <c r="G42" s="36">
        <v>6.3726851851851854E-2</v>
      </c>
      <c r="H42" s="37">
        <v>0.24</v>
      </c>
      <c r="I42" s="38" t="s">
        <v>70</v>
      </c>
      <c r="J42" s="38" t="s">
        <v>70</v>
      </c>
      <c r="K42" s="38">
        <v>2.88</v>
      </c>
      <c r="L42" s="38">
        <v>2.5</v>
      </c>
      <c r="M42" s="38">
        <v>3.02</v>
      </c>
      <c r="N42" s="38" t="s">
        <v>91</v>
      </c>
      <c r="O42" s="38" t="s">
        <v>92</v>
      </c>
      <c r="P42" s="38">
        <v>9146.2999999999993</v>
      </c>
      <c r="Q42" s="38">
        <v>4.0199999999999996</v>
      </c>
      <c r="R42" s="38" t="s">
        <v>70</v>
      </c>
      <c r="S42" s="38" t="s">
        <v>70</v>
      </c>
    </row>
    <row r="43" spans="1:19" ht="19.5" thickBot="1" x14ac:dyDescent="0.35">
      <c r="A43" s="3" t="s">
        <v>96</v>
      </c>
      <c r="B43" s="36">
        <v>2.1944444444444444E-2</v>
      </c>
      <c r="C43" s="38" t="s">
        <v>49</v>
      </c>
      <c r="D43" s="38" t="s">
        <v>49</v>
      </c>
      <c r="E43" s="36">
        <v>3.0474537037037036E-2</v>
      </c>
      <c r="F43" s="36">
        <v>7.6215277777777785E-2</v>
      </c>
      <c r="G43" s="36">
        <v>6.3726851851851854E-2</v>
      </c>
      <c r="H43" s="37">
        <v>0.28000000000000003</v>
      </c>
      <c r="I43" s="38" t="s">
        <v>70</v>
      </c>
      <c r="J43" s="38" t="s">
        <v>70</v>
      </c>
      <c r="K43" s="38">
        <v>2.88</v>
      </c>
      <c r="L43" s="38">
        <v>2.5</v>
      </c>
      <c r="M43" s="38">
        <v>3.02</v>
      </c>
      <c r="N43" s="38" t="s">
        <v>91</v>
      </c>
      <c r="O43" s="38" t="s">
        <v>92</v>
      </c>
      <c r="P43" s="38">
        <v>9146.2999999999993</v>
      </c>
      <c r="Q43" s="38">
        <v>4.22</v>
      </c>
      <c r="R43" s="38" t="s">
        <v>70</v>
      </c>
      <c r="S43" s="38" t="s">
        <v>70</v>
      </c>
    </row>
    <row r="44" spans="1:19" ht="19.5" thickBot="1" x14ac:dyDescent="0.35">
      <c r="A44" s="3" t="s">
        <v>97</v>
      </c>
      <c r="B44" s="36">
        <v>1.9745370370370371E-2</v>
      </c>
      <c r="C44" s="38" t="s">
        <v>49</v>
      </c>
      <c r="D44" s="38" t="s">
        <v>49</v>
      </c>
      <c r="E44" s="36">
        <v>3.0474537037037036E-2</v>
      </c>
      <c r="F44" s="36">
        <v>7.6215277777777785E-2</v>
      </c>
      <c r="G44" s="36">
        <v>6.3726851851851854E-2</v>
      </c>
      <c r="H44" s="37">
        <v>0.35</v>
      </c>
      <c r="I44" s="38" t="s">
        <v>70</v>
      </c>
      <c r="J44" s="38" t="s">
        <v>70</v>
      </c>
      <c r="K44" s="38">
        <v>2.88</v>
      </c>
      <c r="L44" s="38">
        <v>2.5</v>
      </c>
      <c r="M44" s="38">
        <v>3.02</v>
      </c>
      <c r="N44" s="38" t="s">
        <v>91</v>
      </c>
      <c r="O44" s="38" t="s">
        <v>92</v>
      </c>
      <c r="P44" s="38">
        <v>9146.2999999999993</v>
      </c>
      <c r="Q44" s="38">
        <v>4.6900000000000004</v>
      </c>
      <c r="R44" s="38" t="s">
        <v>70</v>
      </c>
      <c r="S44" s="38" t="s">
        <v>70</v>
      </c>
    </row>
    <row r="45" spans="1:19" ht="19.5" thickBot="1" x14ac:dyDescent="0.35">
      <c r="A45" s="3" t="s">
        <v>98</v>
      </c>
      <c r="B45" s="38" t="s">
        <v>49</v>
      </c>
      <c r="C45" s="36">
        <v>4.4363425925925924E-2</v>
      </c>
      <c r="D45" s="36">
        <v>1.6087962962962964E-2</v>
      </c>
      <c r="E45" s="36">
        <v>2.5173611111111112E-2</v>
      </c>
      <c r="F45" s="36">
        <v>5.4155092592592595E-2</v>
      </c>
      <c r="G45" s="36">
        <v>4.5277777777777778E-2</v>
      </c>
      <c r="H45" s="38" t="s">
        <v>70</v>
      </c>
      <c r="I45" s="37">
        <v>0.18</v>
      </c>
      <c r="J45" s="37">
        <v>0.64</v>
      </c>
      <c r="K45" s="38">
        <v>2.88</v>
      </c>
      <c r="L45" s="38">
        <v>2.5</v>
      </c>
      <c r="M45" s="38">
        <v>3.02</v>
      </c>
      <c r="N45" s="38" t="s">
        <v>99</v>
      </c>
      <c r="O45" s="38" t="s">
        <v>100</v>
      </c>
      <c r="P45" s="38" t="s">
        <v>100</v>
      </c>
      <c r="Q45" s="38" t="s">
        <v>70</v>
      </c>
      <c r="R45" s="38">
        <v>3.05</v>
      </c>
      <c r="S45" s="38">
        <v>8.42</v>
      </c>
    </row>
    <row r="46" spans="1:19" ht="19.5" thickBot="1" x14ac:dyDescent="0.35">
      <c r="A46" s="3" t="s">
        <v>101</v>
      </c>
      <c r="B46" s="38" t="s">
        <v>49</v>
      </c>
      <c r="C46" s="36">
        <v>3.1446759259259258E-2</v>
      </c>
      <c r="D46" s="38" t="s">
        <v>49</v>
      </c>
      <c r="E46" s="36">
        <v>2.5173611111111112E-2</v>
      </c>
      <c r="F46" s="36">
        <v>5.4155092592592595E-2</v>
      </c>
      <c r="G46" s="36">
        <v>4.5277777777777778E-2</v>
      </c>
      <c r="H46" s="38" t="s">
        <v>70</v>
      </c>
      <c r="I46" s="37">
        <v>0.42</v>
      </c>
      <c r="J46" s="38" t="s">
        <v>70</v>
      </c>
      <c r="K46" s="38">
        <v>2.88</v>
      </c>
      <c r="L46" s="38">
        <v>2.5</v>
      </c>
      <c r="M46" s="38">
        <v>3.02</v>
      </c>
      <c r="N46" s="38" t="s">
        <v>99</v>
      </c>
      <c r="O46" s="38" t="s">
        <v>100</v>
      </c>
      <c r="P46" s="38" t="s">
        <v>100</v>
      </c>
      <c r="Q46" s="38" t="s">
        <v>70</v>
      </c>
      <c r="R46" s="38">
        <v>4.3099999999999996</v>
      </c>
      <c r="S46" s="38" t="s">
        <v>70</v>
      </c>
    </row>
    <row r="47" spans="1:19" ht="19.5" thickBot="1" x14ac:dyDescent="0.35">
      <c r="A47" s="3" t="s">
        <v>98</v>
      </c>
      <c r="B47" s="38" t="s">
        <v>49</v>
      </c>
      <c r="C47" s="36">
        <v>6.25E-2</v>
      </c>
      <c r="D47" s="36">
        <v>2.6458333333333334E-2</v>
      </c>
      <c r="E47" s="36">
        <v>2.5173611111111112E-2</v>
      </c>
      <c r="F47" s="36">
        <v>5.4155092592592595E-2</v>
      </c>
      <c r="G47" s="36">
        <v>4.5277777777777778E-2</v>
      </c>
      <c r="H47" s="38" t="s">
        <v>70</v>
      </c>
      <c r="I47" s="37">
        <v>0.13</v>
      </c>
      <c r="J47" s="37">
        <v>0.42</v>
      </c>
      <c r="K47" s="38">
        <v>2.88</v>
      </c>
      <c r="L47" s="38">
        <v>2.5</v>
      </c>
      <c r="M47" s="38">
        <v>3.02</v>
      </c>
      <c r="N47" s="38" t="s">
        <v>99</v>
      </c>
      <c r="O47" s="38" t="s">
        <v>100</v>
      </c>
      <c r="P47" s="38" t="s">
        <v>100</v>
      </c>
      <c r="Q47" s="38" t="s">
        <v>70</v>
      </c>
      <c r="R47" s="38">
        <v>2.17</v>
      </c>
      <c r="S47" s="38">
        <v>5.12</v>
      </c>
    </row>
    <row r="48" spans="1:19" ht="19.5" thickBot="1" x14ac:dyDescent="0.35">
      <c r="A48" s="3" t="s">
        <v>101</v>
      </c>
      <c r="B48" s="38" t="s">
        <v>49</v>
      </c>
      <c r="C48" s="36">
        <v>4.8611111111111112E-2</v>
      </c>
      <c r="D48" s="38" t="s">
        <v>49</v>
      </c>
      <c r="E48" s="36">
        <v>2.5173611111111112E-2</v>
      </c>
      <c r="F48" s="36">
        <v>5.4155092592592595E-2</v>
      </c>
      <c r="G48" s="36">
        <v>4.5277777777777778E-2</v>
      </c>
      <c r="H48" s="38" t="s">
        <v>70</v>
      </c>
      <c r="I48" s="37">
        <v>0.1</v>
      </c>
      <c r="J48" s="38" t="s">
        <v>70</v>
      </c>
      <c r="K48" s="38">
        <v>2.88</v>
      </c>
      <c r="L48" s="38">
        <v>2.5</v>
      </c>
      <c r="M48" s="38">
        <v>3.02</v>
      </c>
      <c r="N48" s="38" t="s">
        <v>99</v>
      </c>
      <c r="O48" s="38" t="s">
        <v>100</v>
      </c>
      <c r="P48" s="38" t="s">
        <v>100</v>
      </c>
      <c r="Q48" s="38" t="s">
        <v>70</v>
      </c>
      <c r="R48" s="38">
        <v>2.79</v>
      </c>
      <c r="S48" s="38" t="s">
        <v>70</v>
      </c>
    </row>
    <row r="49" spans="1:19" ht="20.25" thickBot="1" x14ac:dyDescent="0.4">
      <c r="A49" s="78" t="s">
        <v>121</v>
      </c>
      <c r="B49" s="79" t="s">
        <v>2</v>
      </c>
      <c r="C49" s="80">
        <v>2.6388888888888889E-2</v>
      </c>
      <c r="D49" s="80">
        <v>1.90625E-2</v>
      </c>
      <c r="E49" s="79" t="s">
        <v>2</v>
      </c>
      <c r="F49" s="80">
        <v>4.2986111111111114E-2</v>
      </c>
      <c r="G49" s="80">
        <v>6.6331018518518525E-2</v>
      </c>
      <c r="H49" s="79" t="s">
        <v>119</v>
      </c>
      <c r="I49" s="81">
        <v>0.39</v>
      </c>
      <c r="J49" s="81">
        <v>0.71</v>
      </c>
      <c r="K49" s="79" t="s">
        <v>2</v>
      </c>
      <c r="L49" s="79">
        <v>2.5</v>
      </c>
      <c r="M49" s="79">
        <v>1.62</v>
      </c>
      <c r="N49" s="79">
        <v>0</v>
      </c>
      <c r="O49" s="79" t="s">
        <v>122</v>
      </c>
      <c r="P49" s="79" t="s">
        <v>123</v>
      </c>
      <c r="Q49" s="79" t="s">
        <v>2</v>
      </c>
      <c r="R49" s="79">
        <v>4.07</v>
      </c>
      <c r="S49" s="79">
        <v>3.17</v>
      </c>
    </row>
    <row r="50" spans="1:19" ht="20.25" thickBot="1" x14ac:dyDescent="0.4">
      <c r="A50" s="73" t="s">
        <v>124</v>
      </c>
      <c r="B50" s="76" t="s">
        <v>2</v>
      </c>
      <c r="C50" s="74">
        <v>2.8472222222222222E-2</v>
      </c>
      <c r="D50" s="74">
        <v>2.75E-2</v>
      </c>
      <c r="E50" s="76" t="s">
        <v>2</v>
      </c>
      <c r="F50" s="74">
        <v>4.2986111111111114E-2</v>
      </c>
      <c r="G50" s="74">
        <v>6.6331018518518525E-2</v>
      </c>
      <c r="H50" s="76" t="s">
        <v>119</v>
      </c>
      <c r="I50" s="75">
        <v>0.34</v>
      </c>
      <c r="J50" s="75">
        <v>0.59</v>
      </c>
      <c r="K50" s="76" t="s">
        <v>2</v>
      </c>
      <c r="L50" s="76">
        <v>2.5</v>
      </c>
      <c r="M50" s="76">
        <v>1.62</v>
      </c>
      <c r="N50" s="76">
        <v>0</v>
      </c>
      <c r="O50" s="76" t="s">
        <v>122</v>
      </c>
      <c r="P50" s="76" t="s">
        <v>123</v>
      </c>
      <c r="Q50" s="76" t="s">
        <v>2</v>
      </c>
      <c r="R50" s="76">
        <v>3.77</v>
      </c>
      <c r="S50" s="76">
        <v>2.2000000000000002</v>
      </c>
    </row>
    <row r="51" spans="1:19" ht="20.25" thickBot="1" x14ac:dyDescent="0.4">
      <c r="A51" s="73" t="s">
        <v>125</v>
      </c>
      <c r="B51" s="76" t="s">
        <v>2</v>
      </c>
      <c r="C51" s="76" t="s">
        <v>1</v>
      </c>
      <c r="D51" s="74">
        <v>2.1759259259259259E-2</v>
      </c>
      <c r="E51" s="76" t="s">
        <v>2</v>
      </c>
      <c r="F51" s="74">
        <v>4.6863425925925926E-2</v>
      </c>
      <c r="G51" s="74">
        <v>7.2314814814814818E-2</v>
      </c>
      <c r="H51" s="76" t="s">
        <v>119</v>
      </c>
      <c r="I51" s="76" t="s">
        <v>70</v>
      </c>
      <c r="J51" s="75">
        <v>0.7</v>
      </c>
      <c r="K51" s="76" t="s">
        <v>2</v>
      </c>
      <c r="L51" s="76">
        <v>2.5</v>
      </c>
      <c r="M51" s="76">
        <v>1.62</v>
      </c>
      <c r="N51" s="76">
        <v>0</v>
      </c>
      <c r="O51" s="76" t="s">
        <v>126</v>
      </c>
      <c r="P51" s="76" t="s">
        <v>127</v>
      </c>
      <c r="Q51" s="76" t="s">
        <v>2</v>
      </c>
      <c r="R51" s="76" t="s">
        <v>70</v>
      </c>
      <c r="S51" s="76">
        <v>2.99</v>
      </c>
    </row>
    <row r="52" spans="1:19" ht="20.25" thickBot="1" x14ac:dyDescent="0.4">
      <c r="A52" s="78" t="s">
        <v>128</v>
      </c>
      <c r="B52" s="79" t="s">
        <v>2</v>
      </c>
      <c r="C52" s="80">
        <v>3.4479166666666665E-2</v>
      </c>
      <c r="D52" s="80">
        <v>3.3796296296296297E-2</v>
      </c>
      <c r="E52" s="79" t="s">
        <v>2</v>
      </c>
      <c r="F52" s="80">
        <v>4.2060185185185187E-2</v>
      </c>
      <c r="G52" s="80">
        <v>6.4907407407407414E-2</v>
      </c>
      <c r="H52" s="79" t="s">
        <v>119</v>
      </c>
      <c r="I52" s="81">
        <v>0.18</v>
      </c>
      <c r="J52" s="81">
        <v>0.48</v>
      </c>
      <c r="K52" s="79" t="s">
        <v>2</v>
      </c>
      <c r="L52" s="79">
        <v>2.5</v>
      </c>
      <c r="M52" s="79">
        <v>1.62</v>
      </c>
      <c r="N52" s="79">
        <v>0</v>
      </c>
      <c r="O52" s="79" t="s">
        <v>130</v>
      </c>
      <c r="P52" s="79" t="s">
        <v>131</v>
      </c>
      <c r="Q52" s="79" t="s">
        <v>2</v>
      </c>
      <c r="R52" s="79">
        <v>3.05</v>
      </c>
      <c r="S52" s="79">
        <v>1.73</v>
      </c>
    </row>
    <row r="53" spans="1:19" ht="20.25" thickBot="1" x14ac:dyDescent="0.4">
      <c r="A53" s="73" t="s">
        <v>129</v>
      </c>
      <c r="B53" s="76" t="s">
        <v>2</v>
      </c>
      <c r="C53" s="74">
        <v>3.5335648148148151E-2</v>
      </c>
      <c r="D53" s="74">
        <v>2.8761574074074075E-2</v>
      </c>
      <c r="E53" s="76" t="s">
        <v>2</v>
      </c>
      <c r="F53" s="74">
        <v>4.2060185185185187E-2</v>
      </c>
      <c r="G53" s="74">
        <v>6.4907407407407414E-2</v>
      </c>
      <c r="H53" s="76" t="s">
        <v>119</v>
      </c>
      <c r="I53" s="75">
        <v>0.16</v>
      </c>
      <c r="J53" s="75">
        <v>0.56000000000000005</v>
      </c>
      <c r="K53" s="76" t="s">
        <v>2</v>
      </c>
      <c r="L53" s="76">
        <v>2.5</v>
      </c>
      <c r="M53" s="76">
        <v>1.62</v>
      </c>
      <c r="N53" s="76">
        <v>0</v>
      </c>
      <c r="O53" s="76" t="s">
        <v>130</v>
      </c>
      <c r="P53" s="76" t="s">
        <v>131</v>
      </c>
      <c r="Q53" s="76" t="s">
        <v>2</v>
      </c>
      <c r="R53" s="76">
        <v>2.98</v>
      </c>
      <c r="S53" s="76">
        <v>2.0299999999999998</v>
      </c>
    </row>
    <row r="54" spans="1:19" ht="15.75" thickBot="1" x14ac:dyDescent="0.3">
      <c r="A54" s="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9.5" thickBot="1" x14ac:dyDescent="0.35">
      <c r="A55" s="44" t="s">
        <v>102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</row>
    <row r="56" spans="1:19" ht="19.5" thickBot="1" x14ac:dyDescent="0.35">
      <c r="A56" s="40" t="s">
        <v>103</v>
      </c>
      <c r="B56" s="38" t="s">
        <v>2</v>
      </c>
      <c r="C56" s="36">
        <v>8.2199074074074077E-2</v>
      </c>
      <c r="D56" s="36">
        <v>7.3159722222222223E-2</v>
      </c>
      <c r="E56" s="38" t="s">
        <v>2</v>
      </c>
      <c r="F56" s="36">
        <v>4.1770833333333333E-2</v>
      </c>
      <c r="G56" s="36">
        <v>9.2418981481481477E-2</v>
      </c>
      <c r="H56" s="38" t="s">
        <v>70</v>
      </c>
      <c r="I56" s="37">
        <v>0.49</v>
      </c>
      <c r="J56" s="37">
        <v>1</v>
      </c>
      <c r="K56" s="38">
        <v>2.88</v>
      </c>
      <c r="L56" s="38">
        <v>2.5</v>
      </c>
      <c r="M56" s="38">
        <v>3.02</v>
      </c>
      <c r="N56" s="38" t="s">
        <v>2</v>
      </c>
      <c r="O56" s="38" t="s">
        <v>104</v>
      </c>
      <c r="P56" s="38" t="s">
        <v>104</v>
      </c>
      <c r="Q56" s="38" t="s">
        <v>2</v>
      </c>
      <c r="R56" s="38">
        <v>1.27</v>
      </c>
      <c r="S56" s="38" t="s">
        <v>70</v>
      </c>
    </row>
    <row r="57" spans="1:19" ht="19.5" thickBot="1" x14ac:dyDescent="0.35">
      <c r="A57" s="40" t="s">
        <v>105</v>
      </c>
      <c r="B57" s="38" t="s">
        <v>2</v>
      </c>
      <c r="C57" s="36">
        <v>8.6354166666666662E-2</v>
      </c>
      <c r="D57" s="36">
        <v>0.10276620370370371</v>
      </c>
      <c r="E57" s="38" t="s">
        <v>2</v>
      </c>
      <c r="F57" s="36">
        <v>4.1770833333333333E-2</v>
      </c>
      <c r="G57" s="36">
        <v>9.2418981481481477E-2</v>
      </c>
      <c r="H57" s="38" t="s">
        <v>70</v>
      </c>
      <c r="I57" s="37">
        <v>0.52</v>
      </c>
      <c r="J57" s="37">
        <v>0.1</v>
      </c>
      <c r="K57" s="38">
        <v>2.88</v>
      </c>
      <c r="L57" s="38">
        <v>2.5</v>
      </c>
      <c r="M57" s="38">
        <v>3.02</v>
      </c>
      <c r="N57" s="38" t="s">
        <v>2</v>
      </c>
      <c r="O57" s="38" t="s">
        <v>104</v>
      </c>
      <c r="P57" s="38" t="s">
        <v>104</v>
      </c>
      <c r="Q57" s="38" t="s">
        <v>2</v>
      </c>
      <c r="R57" s="38">
        <v>1.21</v>
      </c>
      <c r="S57" s="38">
        <v>1.02</v>
      </c>
    </row>
    <row r="58" spans="1:19" ht="15.75" thickBot="1" x14ac:dyDescent="0.3"/>
    <row r="59" spans="1:19" ht="19.5" thickBot="1" x14ac:dyDescent="0.35">
      <c r="A59" s="44" t="s">
        <v>3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</row>
    <row r="60" spans="1:19" ht="19.5" thickBot="1" x14ac:dyDescent="0.35">
      <c r="A60" s="40" t="s">
        <v>145</v>
      </c>
      <c r="B60" s="38" t="s">
        <v>2</v>
      </c>
      <c r="C60" s="36">
        <v>6.2083333333333331E-2</v>
      </c>
      <c r="D60" s="36">
        <v>4.8287037037037038E-2</v>
      </c>
      <c r="E60" s="38" t="s">
        <v>2</v>
      </c>
      <c r="F60" s="36">
        <v>7.8321759259259258E-2</v>
      </c>
      <c r="G60" s="36">
        <v>9.9398148148148152E-2</v>
      </c>
      <c r="H60" s="38" t="s">
        <v>70</v>
      </c>
      <c r="I60" s="37">
        <v>0.21</v>
      </c>
      <c r="J60" s="37">
        <v>0.51</v>
      </c>
      <c r="K60" s="38" t="s">
        <v>2</v>
      </c>
      <c r="L60" s="38">
        <v>2.5</v>
      </c>
      <c r="M60" s="38">
        <v>1.97</v>
      </c>
      <c r="N60" s="38" t="s">
        <v>2</v>
      </c>
      <c r="O60" s="38" t="s">
        <v>146</v>
      </c>
      <c r="P60" s="38" t="s">
        <v>147</v>
      </c>
      <c r="Q60" s="38" t="s">
        <v>70</v>
      </c>
      <c r="R60" s="38">
        <v>3.15</v>
      </c>
      <c r="S60" s="38">
        <v>2.25</v>
      </c>
    </row>
    <row r="61" spans="1:19" ht="19.5" thickBot="1" x14ac:dyDescent="0.35">
      <c r="A61" s="40" t="s">
        <v>148</v>
      </c>
      <c r="B61" s="38" t="s">
        <v>2</v>
      </c>
      <c r="C61" s="36">
        <v>3.6990740740740741E-2</v>
      </c>
      <c r="D61" s="36">
        <v>1.173611111111111E-2</v>
      </c>
      <c r="E61" s="38" t="s">
        <v>2</v>
      </c>
      <c r="F61" s="36">
        <v>4.2199074074074076E-2</v>
      </c>
      <c r="G61" s="36">
        <v>6.5115740740740738E-2</v>
      </c>
      <c r="H61" s="38" t="s">
        <v>70</v>
      </c>
      <c r="I61" s="37">
        <v>0.12</v>
      </c>
      <c r="J61" s="37">
        <v>0.82</v>
      </c>
      <c r="K61" s="38" t="s">
        <v>2</v>
      </c>
      <c r="L61" s="38">
        <v>2.5</v>
      </c>
      <c r="M61" s="38">
        <v>1.62</v>
      </c>
      <c r="N61" s="38" t="s">
        <v>2</v>
      </c>
      <c r="O61" s="38" t="s">
        <v>149</v>
      </c>
      <c r="P61" s="38" t="s">
        <v>150</v>
      </c>
      <c r="Q61" s="38" t="s">
        <v>70</v>
      </c>
      <c r="R61" s="38">
        <v>2.85</v>
      </c>
      <c r="S61" s="38">
        <v>4.99</v>
      </c>
    </row>
  </sheetData>
  <mergeCells count="10">
    <mergeCell ref="A1:A2"/>
    <mergeCell ref="B1:D1"/>
    <mergeCell ref="E1:G1"/>
    <mergeCell ref="U1:AD1"/>
    <mergeCell ref="V2:X2"/>
    <mergeCell ref="Y2:AA2"/>
    <mergeCell ref="AB2:AD2"/>
    <mergeCell ref="H2:J2"/>
    <mergeCell ref="L2:O2"/>
    <mergeCell ref="Q2:S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6731-FE58-4061-9D82-CA361EBB5E38}">
  <sheetPr codeName="Лист2"/>
  <dimension ref="A1:M69"/>
  <sheetViews>
    <sheetView zoomScaleNormal="100"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E59" sqref="E59"/>
    </sheetView>
  </sheetViews>
  <sheetFormatPr defaultColWidth="22" defaultRowHeight="15" outlineLevelRow="1" x14ac:dyDescent="0.25"/>
  <cols>
    <col min="9" max="9" width="2" customWidth="1"/>
    <col min="10" max="12" width="22" style="32"/>
    <col min="13" max="13" width="2.7109375" customWidth="1"/>
  </cols>
  <sheetData>
    <row r="1" spans="1:13" ht="19.5" outlineLevel="1" thickBot="1" x14ac:dyDescent="0.35">
      <c r="A1" s="125"/>
      <c r="B1" s="126"/>
      <c r="C1" s="129" t="s">
        <v>36</v>
      </c>
      <c r="D1" s="130"/>
      <c r="E1" s="131" t="s">
        <v>11</v>
      </c>
      <c r="F1" s="130"/>
      <c r="G1" s="131" t="s">
        <v>12</v>
      </c>
      <c r="H1" s="130"/>
      <c r="I1" s="18"/>
      <c r="J1" s="121" t="s">
        <v>56</v>
      </c>
      <c r="K1" s="121" t="s">
        <v>54</v>
      </c>
      <c r="L1" s="121" t="s">
        <v>55</v>
      </c>
      <c r="M1" s="18"/>
    </row>
    <row r="2" spans="1:13" ht="19.5" outlineLevel="1" thickBot="1" x14ac:dyDescent="0.35">
      <c r="A2" s="127"/>
      <c r="B2" s="128"/>
      <c r="C2" s="19" t="s">
        <v>37</v>
      </c>
      <c r="D2" s="19" t="s">
        <v>6</v>
      </c>
      <c r="E2" s="19" t="s">
        <v>37</v>
      </c>
      <c r="F2" s="19" t="s">
        <v>6</v>
      </c>
      <c r="G2" s="19" t="s">
        <v>37</v>
      </c>
      <c r="H2" s="19" t="s">
        <v>6</v>
      </c>
      <c r="I2" s="18"/>
      <c r="J2" s="121"/>
      <c r="K2" s="121"/>
      <c r="L2" s="121"/>
      <c r="M2" s="18"/>
    </row>
    <row r="3" spans="1:13" outlineLevel="1" x14ac:dyDescent="0.25">
      <c r="A3" s="132" t="s">
        <v>24</v>
      </c>
      <c r="B3" s="20" t="s">
        <v>31</v>
      </c>
      <c r="C3" s="46">
        <v>3.22</v>
      </c>
      <c r="D3" s="20">
        <v>2.88</v>
      </c>
      <c r="E3" s="46">
        <v>2.82</v>
      </c>
      <c r="F3" s="20">
        <v>2.5</v>
      </c>
      <c r="G3" s="46">
        <v>3.15</v>
      </c>
      <c r="H3" s="20">
        <v>3.02</v>
      </c>
      <c r="I3" s="18"/>
      <c r="J3" s="30">
        <f>IFERROR(IF(D3&gt;C3,(D3-C3)/D3,(C3-D3)/C3),"Н.д.")</f>
        <v>0.10559006211180133</v>
      </c>
      <c r="K3" s="30">
        <f>IFERROR(IF(F3&gt;E3,(F3-E3)/F3,(E3-F3)/E3),"Н.д.")</f>
        <v>0.11347517730496449</v>
      </c>
      <c r="L3" s="30">
        <f>IFERROR(IF(H3&gt;G3,(H3-G3)/H3,(G3-H3)/G3),"Н.д.")</f>
        <v>4.1269841269841234E-2</v>
      </c>
      <c r="M3" s="18"/>
    </row>
    <row r="4" spans="1:13" outlineLevel="1" x14ac:dyDescent="0.25">
      <c r="A4" s="133"/>
      <c r="B4" s="15" t="s">
        <v>32</v>
      </c>
      <c r="C4" s="47">
        <v>4.34</v>
      </c>
      <c r="D4" s="15">
        <v>3.04</v>
      </c>
      <c r="E4" s="47">
        <v>3.43</v>
      </c>
      <c r="F4" s="15">
        <v>2.5</v>
      </c>
      <c r="G4" s="48">
        <v>6.25</v>
      </c>
      <c r="H4" s="15">
        <v>2.99</v>
      </c>
      <c r="I4" s="18"/>
      <c r="J4" s="30">
        <f t="shared" ref="J4:J7" si="0">IFERROR(IF(D4&gt;C4,(D4-C4)/D4,(C4-D4)/C4),"Н.д.")</f>
        <v>0.29953917050691242</v>
      </c>
      <c r="K4" s="30">
        <f t="shared" ref="K4:K7" si="1">IFERROR(IF(F4&gt;E4,(F4-E4)/F4,(E4-F4)/E4),"Н.д.")</f>
        <v>0.2711370262390671</v>
      </c>
      <c r="L4" s="30">
        <f t="shared" ref="L4:L7" si="2">IFERROR(IF(H4&gt;G4,(H4-G4)/H4,(G4-H4)/G4),"Н.д.")</f>
        <v>0.52159999999999995</v>
      </c>
      <c r="M4" s="18"/>
    </row>
    <row r="5" spans="1:13" outlineLevel="1" x14ac:dyDescent="0.25">
      <c r="A5" s="133"/>
      <c r="B5" s="15" t="s">
        <v>33</v>
      </c>
      <c r="C5" s="15">
        <v>9.0299999999999994</v>
      </c>
      <c r="D5" s="15">
        <v>3.33</v>
      </c>
      <c r="E5" s="15">
        <v>5.4</v>
      </c>
      <c r="F5" s="15">
        <v>2.5</v>
      </c>
      <c r="G5" s="23">
        <v>5.3555555555555561</v>
      </c>
      <c r="H5" s="15">
        <v>3.25</v>
      </c>
      <c r="I5" s="18"/>
      <c r="J5" s="30">
        <f t="shared" si="0"/>
        <v>0.63122923588039859</v>
      </c>
      <c r="K5" s="30">
        <f t="shared" si="1"/>
        <v>0.53703703703703709</v>
      </c>
      <c r="L5" s="30">
        <f t="shared" si="2"/>
        <v>0.3931535269709544</v>
      </c>
      <c r="M5" s="18"/>
    </row>
    <row r="6" spans="1:13" outlineLevel="1" x14ac:dyDescent="0.25">
      <c r="A6" s="133"/>
      <c r="B6" s="15" t="s">
        <v>34</v>
      </c>
      <c r="C6" s="15" t="s">
        <v>38</v>
      </c>
      <c r="D6" s="15">
        <v>3.88</v>
      </c>
      <c r="E6" s="15" t="s">
        <v>38</v>
      </c>
      <c r="F6" s="15">
        <v>2.5</v>
      </c>
      <c r="G6" s="15" t="s">
        <v>38</v>
      </c>
      <c r="H6" s="15">
        <v>3.51</v>
      </c>
      <c r="I6" s="18"/>
      <c r="J6" s="30" t="str">
        <f t="shared" si="0"/>
        <v>Н.д.</v>
      </c>
      <c r="K6" s="30" t="str">
        <f t="shared" si="1"/>
        <v>Н.д.</v>
      </c>
      <c r="L6" s="30" t="str">
        <f t="shared" si="2"/>
        <v>Н.д.</v>
      </c>
      <c r="M6" s="18"/>
    </row>
    <row r="7" spans="1:13" ht="15.75" outlineLevel="1" thickBot="1" x14ac:dyDescent="0.3">
      <c r="A7" s="134"/>
      <c r="B7" s="15" t="s">
        <v>35</v>
      </c>
      <c r="C7" s="15" t="s">
        <v>38</v>
      </c>
      <c r="D7" s="15">
        <v>3.88</v>
      </c>
      <c r="E7" s="15" t="s">
        <v>38</v>
      </c>
      <c r="F7" s="15">
        <v>2.5</v>
      </c>
      <c r="G7" s="15" t="s">
        <v>38</v>
      </c>
      <c r="H7" s="15">
        <v>3.51</v>
      </c>
      <c r="I7" s="18"/>
      <c r="J7" s="30" t="str">
        <f t="shared" si="0"/>
        <v>Н.д.</v>
      </c>
      <c r="K7" s="30" t="str">
        <f t="shared" si="1"/>
        <v>Н.д.</v>
      </c>
      <c r="L7" s="30" t="str">
        <f t="shared" si="2"/>
        <v>Н.д.</v>
      </c>
      <c r="M7" s="18"/>
    </row>
    <row r="8" spans="1:13" s="17" customFormat="1" ht="9" customHeight="1" outlineLevel="1" thickBot="1" x14ac:dyDescent="0.3">
      <c r="A8" s="21"/>
      <c r="B8" s="21"/>
      <c r="C8" s="21"/>
      <c r="D8" s="21"/>
      <c r="E8" s="21"/>
      <c r="F8" s="21"/>
      <c r="G8" s="21"/>
      <c r="H8" s="21"/>
      <c r="I8" s="18"/>
      <c r="J8" s="31"/>
      <c r="K8" s="31"/>
      <c r="L8" s="31"/>
      <c r="M8" s="18"/>
    </row>
    <row r="9" spans="1:13" ht="15.6" customHeight="1" outlineLevel="1" x14ac:dyDescent="0.25">
      <c r="A9" s="135" t="s">
        <v>25</v>
      </c>
      <c r="B9" s="22" t="s">
        <v>31</v>
      </c>
      <c r="C9" s="15" t="s">
        <v>2</v>
      </c>
      <c r="D9" s="15" t="s">
        <v>2</v>
      </c>
      <c r="E9" s="15">
        <v>3.31</v>
      </c>
      <c r="F9" s="15">
        <v>2.5</v>
      </c>
      <c r="G9" s="15">
        <v>3.13</v>
      </c>
      <c r="H9" s="15">
        <v>1.0900000000000001</v>
      </c>
      <c r="I9" s="18"/>
      <c r="J9" s="30" t="str">
        <f>IFERROR(IF(D9&gt;C9,(D9-C9)/D9,(C9-D9)/C9),"Н.д.")</f>
        <v>Н.д.</v>
      </c>
      <c r="K9" s="30">
        <f>IFERROR(IF(F9&gt;E9,(F9-E9)/F9,(E9-F9)/E9),"Н.д.")</f>
        <v>0.24471299093655591</v>
      </c>
      <c r="L9" s="30">
        <f>IFERROR(IF(H9&gt;G9,(H9-G9)/H9,(G9-H9)/G9),"Н.д.")</f>
        <v>0.65175718849840258</v>
      </c>
      <c r="M9" s="18"/>
    </row>
    <row r="10" spans="1:13" outlineLevel="1" x14ac:dyDescent="0.25">
      <c r="A10" s="136"/>
      <c r="B10" s="22" t="s">
        <v>32</v>
      </c>
      <c r="C10" s="15" t="s">
        <v>2</v>
      </c>
      <c r="D10" s="15" t="s">
        <v>2</v>
      </c>
      <c r="E10" s="15">
        <v>1.98</v>
      </c>
      <c r="F10" s="15">
        <v>2.5</v>
      </c>
      <c r="G10" s="15">
        <v>1.65</v>
      </c>
      <c r="H10" s="15">
        <v>1.1100000000000001</v>
      </c>
      <c r="I10" s="18"/>
      <c r="J10" s="30" t="str">
        <f t="shared" ref="J10:J13" si="3">IFERROR(IF(D10&gt;C10,(D10-C10)/D10,(C10-D10)/C10),"Н.д.")</f>
        <v>Н.д.</v>
      </c>
      <c r="K10" s="30">
        <f t="shared" ref="K10:K13" si="4">IFERROR(IF(F10&gt;E10,(F10-E10)/F10,(E10-F10)/E10),"Н.д.")</f>
        <v>0.20800000000000002</v>
      </c>
      <c r="L10" s="30">
        <f t="shared" ref="L10:L13" si="5">IFERROR(IF(H10&gt;G10,(H10-G10)/H10,(G10-H10)/G10),"Н.д.")</f>
        <v>0.32727272727272716</v>
      </c>
      <c r="M10" s="18"/>
    </row>
    <row r="11" spans="1:13" outlineLevel="1" x14ac:dyDescent="0.25">
      <c r="A11" s="136"/>
      <c r="B11" s="22" t="s">
        <v>33</v>
      </c>
      <c r="C11" s="15" t="s">
        <v>2</v>
      </c>
      <c r="D11" s="15" t="s">
        <v>2</v>
      </c>
      <c r="E11" s="47">
        <v>1.24</v>
      </c>
      <c r="F11" s="15">
        <v>2.5</v>
      </c>
      <c r="G11" s="47">
        <v>1.22</v>
      </c>
      <c r="H11" s="15">
        <v>1.1299999999999999</v>
      </c>
      <c r="I11" s="18"/>
      <c r="J11" s="30" t="str">
        <f t="shared" si="3"/>
        <v>Н.д.</v>
      </c>
      <c r="K11" s="30">
        <f t="shared" si="4"/>
        <v>0.504</v>
      </c>
      <c r="L11" s="30">
        <f t="shared" si="5"/>
        <v>7.3770491803278757E-2</v>
      </c>
      <c r="M11" s="18"/>
    </row>
    <row r="12" spans="1:13" outlineLevel="1" x14ac:dyDescent="0.25">
      <c r="A12" s="136"/>
      <c r="B12" s="22" t="s">
        <v>34</v>
      </c>
      <c r="C12" s="15" t="s">
        <v>2</v>
      </c>
      <c r="D12" s="15" t="s">
        <v>2</v>
      </c>
      <c r="E12" s="15" t="s">
        <v>38</v>
      </c>
      <c r="F12" s="15">
        <v>2.5</v>
      </c>
      <c r="G12" s="15" t="s">
        <v>38</v>
      </c>
      <c r="H12" s="15">
        <v>1.1499999999999999</v>
      </c>
      <c r="I12" s="18"/>
      <c r="J12" s="30" t="str">
        <f t="shared" si="3"/>
        <v>Н.д.</v>
      </c>
      <c r="K12" s="30" t="str">
        <f t="shared" si="4"/>
        <v>Н.д.</v>
      </c>
      <c r="L12" s="30" t="str">
        <f t="shared" si="5"/>
        <v>Н.д.</v>
      </c>
      <c r="M12" s="18"/>
    </row>
    <row r="13" spans="1:13" ht="15.75" outlineLevel="1" thickBot="1" x14ac:dyDescent="0.3">
      <c r="A13" s="137"/>
      <c r="B13" s="22" t="s">
        <v>35</v>
      </c>
      <c r="C13" s="15" t="s">
        <v>2</v>
      </c>
      <c r="D13" s="15" t="s">
        <v>2</v>
      </c>
      <c r="E13" s="15" t="s">
        <v>38</v>
      </c>
      <c r="F13" s="15">
        <v>2.5</v>
      </c>
      <c r="G13" s="15" t="s">
        <v>38</v>
      </c>
      <c r="H13" s="15">
        <v>0.7</v>
      </c>
      <c r="I13" s="18"/>
      <c r="J13" s="30" t="str">
        <f t="shared" si="3"/>
        <v>Н.д.</v>
      </c>
      <c r="K13" s="30" t="str">
        <f t="shared" si="4"/>
        <v>Н.д.</v>
      </c>
      <c r="L13" s="30" t="str">
        <f t="shared" si="5"/>
        <v>Н.д.</v>
      </c>
      <c r="M13" s="18"/>
    </row>
    <row r="14" spans="1:13" ht="15.75" outlineLevel="1" thickBot="1" x14ac:dyDescent="0.3">
      <c r="A14" s="21"/>
      <c r="B14" s="21"/>
      <c r="C14" s="21"/>
      <c r="D14" s="21"/>
      <c r="E14" s="21"/>
      <c r="F14" s="21"/>
      <c r="G14" s="21"/>
      <c r="H14" s="21"/>
      <c r="I14" s="18"/>
      <c r="J14" s="31"/>
      <c r="K14" s="31"/>
      <c r="L14" s="31"/>
      <c r="M14" s="18"/>
    </row>
    <row r="15" spans="1:13" outlineLevel="1" x14ac:dyDescent="0.25">
      <c r="A15" s="138" t="s">
        <v>26</v>
      </c>
      <c r="B15" s="22" t="s">
        <v>31</v>
      </c>
      <c r="C15" s="15" t="s">
        <v>2</v>
      </c>
      <c r="D15" s="15" t="s">
        <v>2</v>
      </c>
      <c r="E15" s="15" t="s">
        <v>38</v>
      </c>
      <c r="F15" s="15">
        <v>2.5</v>
      </c>
      <c r="G15" s="24">
        <v>2.4611111111111108</v>
      </c>
      <c r="H15" s="15">
        <v>1.0900000000000001</v>
      </c>
      <c r="I15" s="18"/>
      <c r="J15" s="30" t="str">
        <f>IFERROR(IF(D15&gt;C15,(D15-C15)/D15,(C15-D15)/C15),"Н.д.")</f>
        <v>Н.д.</v>
      </c>
      <c r="K15" s="30" t="str">
        <f>IFERROR(IF(F15&gt;E15,(F15-E15)/F15,(E15-F15)/E15),"Н.д.")</f>
        <v>Н.д.</v>
      </c>
      <c r="L15" s="30">
        <f>IFERROR(IF(H15&gt;G15,(H15-G15)/H15,(G15-H15)/G15),"Н.д.")</f>
        <v>0.55711060948081259</v>
      </c>
      <c r="M15" s="18"/>
    </row>
    <row r="16" spans="1:13" outlineLevel="1" x14ac:dyDescent="0.25">
      <c r="A16" s="139"/>
      <c r="B16" s="22" t="s">
        <v>32</v>
      </c>
      <c r="C16" s="15" t="s">
        <v>2</v>
      </c>
      <c r="D16" s="15" t="s">
        <v>2</v>
      </c>
      <c r="E16" s="15">
        <v>3.76</v>
      </c>
      <c r="F16" s="15">
        <v>2.5</v>
      </c>
      <c r="G16" s="23">
        <v>3.68</v>
      </c>
      <c r="H16" s="15">
        <v>1.1100000000000001</v>
      </c>
      <c r="I16" s="18"/>
      <c r="J16" s="30" t="str">
        <f t="shared" ref="J16:J19" si="6">IFERROR(IF(D16&gt;C16,(D16-C16)/D16,(C16-D16)/C16),"Н.д.")</f>
        <v>Н.д.</v>
      </c>
      <c r="K16" s="30">
        <f t="shared" ref="K16:K19" si="7">IFERROR(IF(F16&gt;E16,(F16-E16)/F16,(E16-F16)/E16),"Н.д.")</f>
        <v>0.33510638297872336</v>
      </c>
      <c r="L16" s="30">
        <f t="shared" ref="L16:L19" si="8">IFERROR(IF(H16&gt;G16,(H16-G16)/H16,(G16-H16)/G16),"Н.д.")</f>
        <v>0.69836956521739135</v>
      </c>
      <c r="M16" s="18"/>
    </row>
    <row r="17" spans="1:13" outlineLevel="1" x14ac:dyDescent="0.25">
      <c r="A17" s="139"/>
      <c r="B17" s="22" t="s">
        <v>33</v>
      </c>
      <c r="C17" s="15" t="s">
        <v>2</v>
      </c>
      <c r="D17" s="15" t="s">
        <v>2</v>
      </c>
      <c r="E17" s="15" t="s">
        <v>38</v>
      </c>
      <c r="F17" s="15">
        <v>2.5</v>
      </c>
      <c r="G17" s="15" t="s">
        <v>38</v>
      </c>
      <c r="H17" s="15">
        <v>1.1299999999999999</v>
      </c>
      <c r="I17" s="18"/>
      <c r="J17" s="30" t="str">
        <f t="shared" si="6"/>
        <v>Н.д.</v>
      </c>
      <c r="K17" s="30" t="str">
        <f t="shared" si="7"/>
        <v>Н.д.</v>
      </c>
      <c r="L17" s="30" t="str">
        <f t="shared" si="8"/>
        <v>Н.д.</v>
      </c>
      <c r="M17" s="18"/>
    </row>
    <row r="18" spans="1:13" outlineLevel="1" x14ac:dyDescent="0.25">
      <c r="A18" s="139"/>
      <c r="B18" s="22" t="s">
        <v>34</v>
      </c>
      <c r="C18" s="15" t="s">
        <v>2</v>
      </c>
      <c r="D18" s="15" t="s">
        <v>2</v>
      </c>
      <c r="E18" s="15" t="s">
        <v>38</v>
      </c>
      <c r="F18" s="15">
        <v>2.5</v>
      </c>
      <c r="G18" s="15" t="s">
        <v>38</v>
      </c>
      <c r="H18" s="15">
        <v>1.1499999999999999</v>
      </c>
      <c r="I18" s="18"/>
      <c r="J18" s="30" t="str">
        <f t="shared" si="6"/>
        <v>Н.д.</v>
      </c>
      <c r="K18" s="30" t="str">
        <f t="shared" si="7"/>
        <v>Н.д.</v>
      </c>
      <c r="L18" s="30" t="str">
        <f t="shared" si="8"/>
        <v>Н.д.</v>
      </c>
      <c r="M18" s="18"/>
    </row>
    <row r="19" spans="1:13" ht="15.75" outlineLevel="1" thickBot="1" x14ac:dyDescent="0.3">
      <c r="A19" s="140"/>
      <c r="B19" s="22" t="s">
        <v>35</v>
      </c>
      <c r="C19" s="15" t="s">
        <v>2</v>
      </c>
      <c r="D19" s="15" t="s">
        <v>2</v>
      </c>
      <c r="E19" s="15" t="s">
        <v>38</v>
      </c>
      <c r="F19" s="15">
        <v>2.5</v>
      </c>
      <c r="G19" s="15" t="s">
        <v>38</v>
      </c>
      <c r="H19" s="15">
        <v>0.7</v>
      </c>
      <c r="I19" s="18"/>
      <c r="J19" s="30" t="str">
        <f t="shared" si="6"/>
        <v>Н.д.</v>
      </c>
      <c r="K19" s="30" t="str">
        <f t="shared" si="7"/>
        <v>Н.д.</v>
      </c>
      <c r="L19" s="30" t="str">
        <f t="shared" si="8"/>
        <v>Н.д.</v>
      </c>
      <c r="M19" s="18"/>
    </row>
    <row r="20" spans="1:13" ht="15.75" outlineLevel="1" thickBot="1" x14ac:dyDescent="0.3">
      <c r="A20" s="21"/>
      <c r="B20" s="21"/>
      <c r="C20" s="21"/>
      <c r="D20" s="21"/>
      <c r="E20" s="21"/>
      <c r="F20" s="21"/>
      <c r="G20" s="21"/>
      <c r="H20" s="21"/>
      <c r="I20" s="18"/>
      <c r="J20" s="31"/>
      <c r="K20" s="31"/>
      <c r="L20" s="31"/>
      <c r="M20" s="18"/>
    </row>
    <row r="21" spans="1:13" outlineLevel="1" x14ac:dyDescent="0.25">
      <c r="A21" s="138" t="s">
        <v>27</v>
      </c>
      <c r="B21" s="22" t="s">
        <v>31</v>
      </c>
      <c r="C21" s="15" t="s">
        <v>38</v>
      </c>
      <c r="D21" s="15" t="s">
        <v>38</v>
      </c>
      <c r="E21" s="82">
        <v>3.44</v>
      </c>
      <c r="F21" s="15">
        <v>2.5</v>
      </c>
      <c r="G21" s="83">
        <v>2.59</v>
      </c>
      <c r="H21" s="15">
        <v>1.53</v>
      </c>
      <c r="I21" s="18"/>
      <c r="J21" s="30" t="str">
        <f>IFERROR(IF(D21&gt;C21,(D21-C21)/D21,(C21-D21)/C21),"Н.д.")</f>
        <v>Н.д.</v>
      </c>
      <c r="K21" s="30">
        <f>IFERROR(IF(F21&gt;E21,(F21-E21)/F21,(E21-F21)/E21),"Н.д.")</f>
        <v>0.27325581395348836</v>
      </c>
      <c r="L21" s="30">
        <f>IFERROR(IF(H21&gt;G21,(H21-G21)/H21,(G21-H21)/G21),"Н.д.")</f>
        <v>0.40926640926640923</v>
      </c>
      <c r="M21" s="18"/>
    </row>
    <row r="22" spans="1:13" outlineLevel="1" x14ac:dyDescent="0.25">
      <c r="A22" s="139"/>
      <c r="B22" s="22" t="s">
        <v>32</v>
      </c>
      <c r="C22" s="15" t="s">
        <v>38</v>
      </c>
      <c r="D22" s="15">
        <v>3.04</v>
      </c>
      <c r="E22" s="47">
        <v>3.43</v>
      </c>
      <c r="F22" s="15">
        <v>2.5</v>
      </c>
      <c r="G22" s="83">
        <v>3.48</v>
      </c>
      <c r="H22" s="15">
        <v>1.62</v>
      </c>
      <c r="I22" s="18"/>
      <c r="J22" s="30" t="str">
        <f t="shared" ref="J22:J25" si="9">IFERROR(IF(D22&gt;C22,(D22-C22)/D22,(C22-D22)/C22),"Н.д.")</f>
        <v>Н.д.</v>
      </c>
      <c r="K22" s="30">
        <f t="shared" ref="K22:K25" si="10">IFERROR(IF(F22&gt;E22,(F22-E22)/F22,(E22-F22)/E22),"Н.д.")</f>
        <v>0.2711370262390671</v>
      </c>
      <c r="L22" s="30">
        <f t="shared" ref="L22:L25" si="11">IFERROR(IF(H22&gt;G22,(H22-G22)/H22,(G22-H22)/G22),"Н.д.")</f>
        <v>0.53448275862068961</v>
      </c>
      <c r="M22" s="18"/>
    </row>
    <row r="23" spans="1:13" outlineLevel="1" x14ac:dyDescent="0.25">
      <c r="A23" s="139"/>
      <c r="B23" s="22" t="s">
        <v>33</v>
      </c>
      <c r="C23" s="15" t="s">
        <v>38</v>
      </c>
      <c r="D23" s="15">
        <v>3.33</v>
      </c>
      <c r="E23" s="15" t="s">
        <v>38</v>
      </c>
      <c r="F23" s="15">
        <v>2.5</v>
      </c>
      <c r="G23" s="15" t="s">
        <v>38</v>
      </c>
      <c r="H23" s="15">
        <v>1.08</v>
      </c>
      <c r="I23" s="18"/>
      <c r="J23" s="30" t="str">
        <f t="shared" si="9"/>
        <v>Н.д.</v>
      </c>
      <c r="K23" s="30" t="str">
        <f t="shared" si="10"/>
        <v>Н.д.</v>
      </c>
      <c r="L23" s="30" t="str">
        <f t="shared" si="11"/>
        <v>Н.д.</v>
      </c>
      <c r="M23" s="18"/>
    </row>
    <row r="24" spans="1:13" outlineLevel="1" x14ac:dyDescent="0.25">
      <c r="A24" s="139"/>
      <c r="B24" s="22" t="s">
        <v>34</v>
      </c>
      <c r="C24" s="15" t="s">
        <v>38</v>
      </c>
      <c r="D24" s="15">
        <v>3.88</v>
      </c>
      <c r="E24" s="15" t="s">
        <v>38</v>
      </c>
      <c r="F24" s="15">
        <v>2.5</v>
      </c>
      <c r="G24" s="15" t="s">
        <v>38</v>
      </c>
      <c r="H24" s="15">
        <v>1</v>
      </c>
      <c r="I24" s="18"/>
      <c r="J24" s="30" t="str">
        <f t="shared" si="9"/>
        <v>Н.д.</v>
      </c>
      <c r="K24" s="30" t="str">
        <f t="shared" si="10"/>
        <v>Н.д.</v>
      </c>
      <c r="L24" s="30" t="str">
        <f t="shared" si="11"/>
        <v>Н.д.</v>
      </c>
      <c r="M24" s="18"/>
    </row>
    <row r="25" spans="1:13" ht="15.75" outlineLevel="1" thickBot="1" x14ac:dyDescent="0.3">
      <c r="A25" s="140"/>
      <c r="B25" s="22" t="s">
        <v>35</v>
      </c>
      <c r="C25" s="15" t="s">
        <v>38</v>
      </c>
      <c r="D25" s="15">
        <v>3.88</v>
      </c>
      <c r="E25" s="15" t="s">
        <v>38</v>
      </c>
      <c r="F25" s="15">
        <v>2.5</v>
      </c>
      <c r="G25" s="15" t="s">
        <v>38</v>
      </c>
      <c r="H25" s="15">
        <v>1</v>
      </c>
      <c r="I25" s="18"/>
      <c r="J25" s="30" t="str">
        <f t="shared" si="9"/>
        <v>Н.д.</v>
      </c>
      <c r="K25" s="30" t="str">
        <f t="shared" si="10"/>
        <v>Н.д.</v>
      </c>
      <c r="L25" s="30" t="str">
        <f t="shared" si="11"/>
        <v>Н.д.</v>
      </c>
      <c r="M25" s="18"/>
    </row>
    <row r="26" spans="1:13" ht="15.75" outlineLevel="1" thickBot="1" x14ac:dyDescent="0.3">
      <c r="A26" s="21"/>
      <c r="B26" s="21"/>
      <c r="C26" s="21"/>
      <c r="D26" s="21"/>
      <c r="E26" s="21"/>
      <c r="F26" s="21"/>
      <c r="G26" s="21"/>
      <c r="H26" s="21"/>
      <c r="I26" s="18"/>
      <c r="J26" s="31"/>
      <c r="K26" s="31"/>
      <c r="L26" s="31"/>
      <c r="M26" s="18"/>
    </row>
    <row r="27" spans="1:13" outlineLevel="1" x14ac:dyDescent="0.25">
      <c r="A27" s="135" t="s">
        <v>28</v>
      </c>
      <c r="B27" s="22" t="s">
        <v>31</v>
      </c>
      <c r="C27" s="15" t="s">
        <v>38</v>
      </c>
      <c r="D27" s="15" t="s">
        <v>38</v>
      </c>
      <c r="E27" s="15" t="s">
        <v>38</v>
      </c>
      <c r="F27" s="15">
        <v>2.5</v>
      </c>
      <c r="G27" s="15" t="s">
        <v>38</v>
      </c>
      <c r="H27" s="15" t="s">
        <v>38</v>
      </c>
      <c r="I27" s="18"/>
      <c r="J27" s="30" t="str">
        <f>IFERROR(IF(D27&gt;C27,(D27-C27)/D27,(C27-D27)/C27),"Н.д.")</f>
        <v>Н.д.</v>
      </c>
      <c r="K27" s="30" t="str">
        <f>IFERROR(IF(F27&gt;E27,(F27-E27)/F27,(E27-F27)/E27),"Н.д.")</f>
        <v>Н.д.</v>
      </c>
      <c r="L27" s="30" t="str">
        <f>IFERROR(IF(H27&gt;G27,(H27-G27)/H27,(G27-H27)/G27),"Н.д.")</f>
        <v>Н.д.</v>
      </c>
      <c r="M27" s="18"/>
    </row>
    <row r="28" spans="1:13" outlineLevel="1" x14ac:dyDescent="0.25">
      <c r="A28" s="136"/>
      <c r="B28" s="22" t="s">
        <v>32</v>
      </c>
      <c r="C28" s="15" t="s">
        <v>38</v>
      </c>
      <c r="D28" s="15">
        <v>3.04</v>
      </c>
      <c r="E28" s="47">
        <v>4.03</v>
      </c>
      <c r="F28" s="15">
        <v>2.5</v>
      </c>
      <c r="G28" s="47">
        <v>2.86</v>
      </c>
      <c r="H28" s="15">
        <v>1.97</v>
      </c>
      <c r="I28" s="18"/>
      <c r="J28" s="30" t="str">
        <f t="shared" ref="J28:J31" si="12">IFERROR(IF(D28&gt;C28,(D28-C28)/D28,(C28-D28)/C28),"Н.д.")</f>
        <v>Н.д.</v>
      </c>
      <c r="K28" s="30">
        <f t="shared" ref="K28:K31" si="13">IFERROR(IF(F28&gt;E28,(F28-E28)/F28,(E28-F28)/E28),"Н.д.")</f>
        <v>0.3796526054590571</v>
      </c>
      <c r="L28" s="30">
        <f t="shared" ref="L28:L31" si="14">IFERROR(IF(H28&gt;G28,(H28-G28)/H28,(G28-H28)/G28),"Н.д.")</f>
        <v>0.31118881118881114</v>
      </c>
      <c r="M28" s="18"/>
    </row>
    <row r="29" spans="1:13" outlineLevel="1" x14ac:dyDescent="0.25">
      <c r="A29" s="136"/>
      <c r="B29" s="22" t="s">
        <v>33</v>
      </c>
      <c r="C29" s="15" t="s">
        <v>38</v>
      </c>
      <c r="D29" s="15">
        <v>3.33</v>
      </c>
      <c r="E29" s="15" t="s">
        <v>38</v>
      </c>
      <c r="F29" s="15">
        <v>2.5</v>
      </c>
      <c r="G29" s="15" t="s">
        <v>38</v>
      </c>
      <c r="H29" s="15">
        <v>2.21</v>
      </c>
      <c r="I29" s="18"/>
      <c r="J29" s="30" t="str">
        <f t="shared" si="12"/>
        <v>Н.д.</v>
      </c>
      <c r="K29" s="30" t="str">
        <f t="shared" si="13"/>
        <v>Н.д.</v>
      </c>
      <c r="L29" s="30" t="str">
        <f t="shared" si="14"/>
        <v>Н.д.</v>
      </c>
      <c r="M29" s="18"/>
    </row>
    <row r="30" spans="1:13" outlineLevel="1" x14ac:dyDescent="0.25">
      <c r="A30" s="136"/>
      <c r="B30" s="22" t="s">
        <v>34</v>
      </c>
      <c r="C30" s="15" t="s">
        <v>38</v>
      </c>
      <c r="D30" s="15">
        <v>3.88</v>
      </c>
      <c r="E30" s="15" t="s">
        <v>38</v>
      </c>
      <c r="F30" s="15">
        <v>2.5</v>
      </c>
      <c r="G30" s="15" t="s">
        <v>38</v>
      </c>
      <c r="H30" s="15">
        <v>1.7</v>
      </c>
      <c r="I30" s="18"/>
      <c r="J30" s="30" t="str">
        <f t="shared" si="12"/>
        <v>Н.д.</v>
      </c>
      <c r="K30" s="30" t="str">
        <f t="shared" si="13"/>
        <v>Н.д.</v>
      </c>
      <c r="L30" s="30" t="str">
        <f t="shared" si="14"/>
        <v>Н.д.</v>
      </c>
      <c r="M30" s="18"/>
    </row>
    <row r="31" spans="1:13" ht="15.75" outlineLevel="1" thickBot="1" x14ac:dyDescent="0.3">
      <c r="A31" s="137"/>
      <c r="B31" s="22" t="s">
        <v>35</v>
      </c>
      <c r="C31" s="15" t="s">
        <v>38</v>
      </c>
      <c r="D31" s="15">
        <v>3.88</v>
      </c>
      <c r="E31" s="15" t="s">
        <v>38</v>
      </c>
      <c r="F31" s="15">
        <v>2.5</v>
      </c>
      <c r="G31" s="15" t="s">
        <v>38</v>
      </c>
      <c r="H31" s="15">
        <v>1.7</v>
      </c>
      <c r="I31" s="18"/>
      <c r="J31" s="30" t="str">
        <f t="shared" si="12"/>
        <v>Н.д.</v>
      </c>
      <c r="K31" s="30" t="str">
        <f t="shared" si="13"/>
        <v>Н.д.</v>
      </c>
      <c r="L31" s="30" t="str">
        <f t="shared" si="14"/>
        <v>Н.д.</v>
      </c>
      <c r="M31" s="18"/>
    </row>
    <row r="32" spans="1:13" ht="15.75" outlineLevel="1" thickBot="1" x14ac:dyDescent="0.3">
      <c r="A32" s="21"/>
      <c r="B32" s="21"/>
      <c r="C32" s="21"/>
      <c r="D32" s="21"/>
      <c r="E32" s="21"/>
      <c r="F32" s="21"/>
      <c r="G32" s="21"/>
      <c r="H32" s="21"/>
      <c r="I32" s="18"/>
      <c r="J32" s="31"/>
      <c r="K32" s="31"/>
      <c r="L32" s="31"/>
      <c r="M32" s="18"/>
    </row>
    <row r="33" spans="1:13" outlineLevel="1" x14ac:dyDescent="0.25">
      <c r="A33" s="122" t="s">
        <v>29</v>
      </c>
      <c r="B33" s="22" t="s">
        <v>31</v>
      </c>
      <c r="C33" s="15" t="s">
        <v>2</v>
      </c>
      <c r="D33" s="15" t="s">
        <v>2</v>
      </c>
      <c r="E33" s="15" t="s">
        <v>38</v>
      </c>
      <c r="F33" s="15">
        <v>2.5</v>
      </c>
      <c r="G33" s="15" t="s">
        <v>38</v>
      </c>
      <c r="H33" s="15">
        <v>1.74</v>
      </c>
      <c r="I33" s="18"/>
      <c r="J33" s="30" t="str">
        <f>IFERROR(IF(D33&gt;C33,(D33-C33)/D33,(C33-D33)/C33),"Н.д.")</f>
        <v>Н.д.</v>
      </c>
      <c r="K33" s="30" t="str">
        <f>IFERROR(IF(F33&gt;E33,(F33-E33)/F33,(E33-F33)/E33),"Н.д.")</f>
        <v>Н.д.</v>
      </c>
      <c r="L33" s="30" t="str">
        <f>IFERROR(IF(H33&gt;G33,(H33-G33)/H33,(G33-H33)/G33),"Н.д.")</f>
        <v>Н.д.</v>
      </c>
      <c r="M33" s="18"/>
    </row>
    <row r="34" spans="1:13" outlineLevel="1" x14ac:dyDescent="0.25">
      <c r="A34" s="123"/>
      <c r="B34" s="22" t="s">
        <v>32</v>
      </c>
      <c r="C34" s="15" t="s">
        <v>2</v>
      </c>
      <c r="D34" s="15" t="s">
        <v>2</v>
      </c>
      <c r="E34" s="15" t="s">
        <v>38</v>
      </c>
      <c r="F34" s="15">
        <v>2.5</v>
      </c>
      <c r="G34" s="15" t="s">
        <v>38</v>
      </c>
      <c r="H34" s="15">
        <v>1.95</v>
      </c>
      <c r="I34" s="18"/>
      <c r="J34" s="30" t="str">
        <f t="shared" ref="J34:J37" si="15">IFERROR(IF(D34&gt;C34,(D34-C34)/D34,(C34-D34)/C34),"Н.д.")</f>
        <v>Н.д.</v>
      </c>
      <c r="K34" s="30" t="str">
        <f t="shared" ref="K34:K37" si="16">IFERROR(IF(F34&gt;E34,(F34-E34)/F34,(E34-F34)/E34),"Н.д.")</f>
        <v>Н.д.</v>
      </c>
      <c r="L34" s="30" t="str">
        <f t="shared" ref="L34:L37" si="17">IFERROR(IF(H34&gt;G34,(H34-G34)/H34,(G34-H34)/G34),"Н.д.")</f>
        <v>Н.д.</v>
      </c>
      <c r="M34" s="18"/>
    </row>
    <row r="35" spans="1:13" outlineLevel="1" x14ac:dyDescent="0.25">
      <c r="A35" s="123"/>
      <c r="B35" s="22" t="s">
        <v>33</v>
      </c>
      <c r="C35" s="15" t="s">
        <v>2</v>
      </c>
      <c r="D35" s="15" t="s">
        <v>2</v>
      </c>
      <c r="E35" s="15" t="s">
        <v>38</v>
      </c>
      <c r="F35" s="15">
        <v>2.5</v>
      </c>
      <c r="G35" s="15" t="s">
        <v>38</v>
      </c>
      <c r="H35" s="15">
        <v>1.98</v>
      </c>
      <c r="I35" s="18"/>
      <c r="J35" s="30" t="str">
        <f t="shared" si="15"/>
        <v>Н.д.</v>
      </c>
      <c r="K35" s="30" t="str">
        <f t="shared" si="16"/>
        <v>Н.д.</v>
      </c>
      <c r="L35" s="30" t="str">
        <f t="shared" si="17"/>
        <v>Н.д.</v>
      </c>
      <c r="M35" s="18"/>
    </row>
    <row r="36" spans="1:13" outlineLevel="1" x14ac:dyDescent="0.25">
      <c r="A36" s="123"/>
      <c r="B36" s="22" t="s">
        <v>34</v>
      </c>
      <c r="C36" s="15" t="s">
        <v>2</v>
      </c>
      <c r="D36" s="15" t="s">
        <v>2</v>
      </c>
      <c r="E36" s="15" t="s">
        <v>38</v>
      </c>
      <c r="F36" s="15">
        <v>2.5</v>
      </c>
      <c r="G36" s="15" t="s">
        <v>38</v>
      </c>
      <c r="H36" s="15">
        <v>2.0099999999999998</v>
      </c>
      <c r="I36" s="18"/>
      <c r="J36" s="30" t="str">
        <f t="shared" si="15"/>
        <v>Н.д.</v>
      </c>
      <c r="K36" s="30" t="str">
        <f t="shared" si="16"/>
        <v>Н.д.</v>
      </c>
      <c r="L36" s="30" t="str">
        <f t="shared" si="17"/>
        <v>Н.д.</v>
      </c>
      <c r="M36" s="18"/>
    </row>
    <row r="37" spans="1:13" ht="15.75" outlineLevel="1" thickBot="1" x14ac:dyDescent="0.3">
      <c r="A37" s="124"/>
      <c r="B37" s="22" t="s">
        <v>35</v>
      </c>
      <c r="C37" s="15" t="s">
        <v>2</v>
      </c>
      <c r="D37" s="15" t="s">
        <v>2</v>
      </c>
      <c r="E37" s="15" t="s">
        <v>38</v>
      </c>
      <c r="F37" s="15">
        <v>2.5</v>
      </c>
      <c r="G37" s="15" t="s">
        <v>38</v>
      </c>
      <c r="H37" s="15">
        <v>2.0099999999999998</v>
      </c>
      <c r="I37" s="18"/>
      <c r="J37" s="30" t="str">
        <f t="shared" si="15"/>
        <v>Н.д.</v>
      </c>
      <c r="K37" s="30" t="str">
        <f t="shared" si="16"/>
        <v>Н.д.</v>
      </c>
      <c r="L37" s="30" t="str">
        <f t="shared" si="17"/>
        <v>Н.д.</v>
      </c>
      <c r="M37" s="18"/>
    </row>
    <row r="38" spans="1:13" ht="15.75" outlineLevel="1" thickBot="1" x14ac:dyDescent="0.3">
      <c r="A38" s="21"/>
      <c r="B38" s="21"/>
      <c r="C38" s="21"/>
      <c r="D38" s="21"/>
      <c r="E38" s="21"/>
      <c r="F38" s="21"/>
      <c r="G38" s="21"/>
      <c r="H38" s="21"/>
      <c r="I38" s="18"/>
      <c r="J38" s="31"/>
      <c r="K38" s="31"/>
      <c r="L38" s="31"/>
      <c r="M38" s="18"/>
    </row>
    <row r="39" spans="1:13" outlineLevel="1" x14ac:dyDescent="0.25">
      <c r="A39" s="122" t="s">
        <v>30</v>
      </c>
      <c r="B39" s="22" t="s">
        <v>31</v>
      </c>
      <c r="C39" s="15" t="s">
        <v>38</v>
      </c>
      <c r="D39" s="15" t="s">
        <v>38</v>
      </c>
      <c r="E39" s="15" t="s">
        <v>38</v>
      </c>
      <c r="F39" s="15">
        <v>2.5</v>
      </c>
      <c r="G39" s="15" t="s">
        <v>38</v>
      </c>
      <c r="H39" s="15">
        <v>1.74</v>
      </c>
      <c r="I39" s="18"/>
      <c r="J39" s="30" t="str">
        <f>IFERROR(IF(D39&gt;C39,(D39-C39)/D39,(C39-D39)/C39),"Н.д.")</f>
        <v>Н.д.</v>
      </c>
      <c r="K39" s="30" t="str">
        <f>IFERROR(IF(F39&gt;E39,(F39-E39)/F39,(E39-F39)/E39),"Н.д.")</f>
        <v>Н.д.</v>
      </c>
      <c r="L39" s="30" t="str">
        <f>IFERROR(IF(H39&gt;G39,(H39-G39)/H39,(G39-H39)/G39),"Н.д.")</f>
        <v>Н.д.</v>
      </c>
      <c r="M39" s="18"/>
    </row>
    <row r="40" spans="1:13" outlineLevel="1" x14ac:dyDescent="0.25">
      <c r="A40" s="123"/>
      <c r="B40" s="22" t="s">
        <v>32</v>
      </c>
      <c r="C40" s="15" t="s">
        <v>38</v>
      </c>
      <c r="D40" s="15" t="s">
        <v>38</v>
      </c>
      <c r="E40" s="15" t="s">
        <v>38</v>
      </c>
      <c r="F40" s="15">
        <v>2.5</v>
      </c>
      <c r="G40" s="15" t="s">
        <v>38</v>
      </c>
      <c r="H40" s="15">
        <v>1.95</v>
      </c>
      <c r="I40" s="18"/>
      <c r="J40" s="30" t="str">
        <f t="shared" ref="J40:J43" si="18">IFERROR(IF(D40&gt;C40,(D40-C40)/D40,(C40-D40)/C40),"Н.д.")</f>
        <v>Н.д.</v>
      </c>
      <c r="K40" s="30" t="str">
        <f t="shared" ref="K40:K43" si="19">IFERROR(IF(F40&gt;E40,(F40-E40)/F40,(E40-F40)/E40),"Н.д.")</f>
        <v>Н.д.</v>
      </c>
      <c r="L40" s="30" t="str">
        <f t="shared" ref="L40:L43" si="20">IFERROR(IF(H40&gt;G40,(H40-G40)/H40,(G40-H40)/G40),"Н.д.")</f>
        <v>Н.д.</v>
      </c>
      <c r="M40" s="18"/>
    </row>
    <row r="41" spans="1:13" outlineLevel="1" x14ac:dyDescent="0.25">
      <c r="A41" s="123"/>
      <c r="B41" s="22" t="s">
        <v>33</v>
      </c>
      <c r="C41" s="15" t="s">
        <v>38</v>
      </c>
      <c r="D41" s="15" t="s">
        <v>38</v>
      </c>
      <c r="E41" s="15" t="s">
        <v>38</v>
      </c>
      <c r="F41" s="15">
        <v>2.5</v>
      </c>
      <c r="G41" s="15" t="s">
        <v>38</v>
      </c>
      <c r="H41" s="15">
        <v>1.98</v>
      </c>
      <c r="I41" s="18"/>
      <c r="J41" s="30" t="str">
        <f t="shared" si="18"/>
        <v>Н.д.</v>
      </c>
      <c r="K41" s="30" t="str">
        <f t="shared" si="19"/>
        <v>Н.д.</v>
      </c>
      <c r="L41" s="30" t="str">
        <f t="shared" si="20"/>
        <v>Н.д.</v>
      </c>
      <c r="M41" s="18"/>
    </row>
    <row r="42" spans="1:13" outlineLevel="1" x14ac:dyDescent="0.25">
      <c r="A42" s="123"/>
      <c r="B42" s="22" t="s">
        <v>34</v>
      </c>
      <c r="C42" s="14">
        <v>3.46</v>
      </c>
      <c r="D42" s="15" t="s">
        <v>38</v>
      </c>
      <c r="E42" s="14">
        <v>4.67</v>
      </c>
      <c r="F42" s="15">
        <v>2.5</v>
      </c>
      <c r="G42" s="15" t="s">
        <v>38</v>
      </c>
      <c r="H42" s="15">
        <v>2.0099999999999998</v>
      </c>
      <c r="I42" s="18"/>
      <c r="J42" s="30" t="str">
        <f t="shared" si="18"/>
        <v>Н.д.</v>
      </c>
      <c r="K42" s="30">
        <f t="shared" si="19"/>
        <v>0.46466809421841543</v>
      </c>
      <c r="L42" s="30" t="str">
        <f t="shared" si="20"/>
        <v>Н.д.</v>
      </c>
      <c r="M42" s="18"/>
    </row>
    <row r="43" spans="1:13" ht="15.75" outlineLevel="1" thickBot="1" x14ac:dyDescent="0.3">
      <c r="A43" s="124"/>
      <c r="B43" s="22" t="s">
        <v>35</v>
      </c>
      <c r="C43" s="15" t="s">
        <v>38</v>
      </c>
      <c r="D43" s="15" t="s">
        <v>38</v>
      </c>
      <c r="E43" s="15" t="s">
        <v>38</v>
      </c>
      <c r="F43" s="15">
        <v>2.5</v>
      </c>
      <c r="G43" s="15" t="s">
        <v>38</v>
      </c>
      <c r="H43" s="15">
        <v>2.0099999999999998</v>
      </c>
      <c r="I43" s="18"/>
      <c r="J43" s="30" t="str">
        <f t="shared" si="18"/>
        <v>Н.д.</v>
      </c>
      <c r="K43" s="30" t="str">
        <f t="shared" si="19"/>
        <v>Н.д.</v>
      </c>
      <c r="L43" s="30" t="str">
        <f t="shared" si="20"/>
        <v>Н.д.</v>
      </c>
      <c r="M43" s="18"/>
    </row>
    <row r="44" spans="1:13" outlineLevel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31"/>
      <c r="K44" s="31"/>
      <c r="L44" s="31"/>
      <c r="M44" s="18"/>
    </row>
    <row r="46" spans="1:13" ht="15.75" thickBot="1" x14ac:dyDescent="0.3"/>
    <row r="47" spans="1:13" ht="19.5" thickBot="1" x14ac:dyDescent="0.35">
      <c r="A47" s="113"/>
      <c r="B47" s="114"/>
      <c r="C47" s="117" t="s">
        <v>36</v>
      </c>
      <c r="D47" s="118"/>
      <c r="E47" s="117" t="s">
        <v>11</v>
      </c>
      <c r="F47" s="118"/>
      <c r="G47" s="117" t="s">
        <v>12</v>
      </c>
      <c r="H47" s="118"/>
      <c r="I47" s="18"/>
      <c r="J47" s="109" t="s">
        <v>56</v>
      </c>
      <c r="K47" s="109" t="s">
        <v>54</v>
      </c>
      <c r="L47" s="109" t="s">
        <v>55</v>
      </c>
      <c r="M47" s="18"/>
    </row>
    <row r="48" spans="1:13" ht="19.5" thickBot="1" x14ac:dyDescent="0.35">
      <c r="A48" s="115"/>
      <c r="B48" s="116"/>
      <c r="C48" s="19" t="s">
        <v>37</v>
      </c>
      <c r="D48" s="19" t="s">
        <v>6</v>
      </c>
      <c r="E48" s="19" t="s">
        <v>37</v>
      </c>
      <c r="F48" s="19" t="s">
        <v>6</v>
      </c>
      <c r="G48" s="19" t="s">
        <v>37</v>
      </c>
      <c r="H48" s="19" t="s">
        <v>6</v>
      </c>
      <c r="I48" s="18"/>
      <c r="J48" s="110"/>
      <c r="K48" s="110"/>
      <c r="L48" s="110"/>
      <c r="M48" s="18"/>
    </row>
    <row r="49" spans="1:13" x14ac:dyDescent="0.25">
      <c r="A49" s="111" t="s">
        <v>24</v>
      </c>
      <c r="B49" s="20" t="s">
        <v>31</v>
      </c>
      <c r="C49" s="46">
        <v>3.22</v>
      </c>
      <c r="D49" s="20">
        <v>2.88</v>
      </c>
      <c r="E49" s="46">
        <v>2.82</v>
      </c>
      <c r="F49" s="20">
        <v>2.5</v>
      </c>
      <c r="G49" s="46">
        <v>3.15</v>
      </c>
      <c r="H49" s="20">
        <v>3.02</v>
      </c>
      <c r="I49" s="18"/>
      <c r="J49" s="30">
        <f>IFERROR(IF(D49&gt;C49,(D49-C49)/D49,(C49-D49)/C49),"Н.д.")</f>
        <v>0.10559006211180133</v>
      </c>
      <c r="K49" s="30">
        <f>IFERROR(IF(F49&gt;E49,(F49-E49)/F49,(E49-F49)/E49),"Н.д.")</f>
        <v>0.11347517730496449</v>
      </c>
      <c r="L49" s="30">
        <f>IFERROR(IF(H49&gt;G49,(H49-G49)/H49,(G49-H49)/G49),"Н.д.")</f>
        <v>4.1269841269841234E-2</v>
      </c>
      <c r="M49" s="18"/>
    </row>
    <row r="50" spans="1:13" x14ac:dyDescent="0.25">
      <c r="A50" s="112"/>
      <c r="B50" s="15" t="s">
        <v>32</v>
      </c>
      <c r="C50" s="47">
        <v>4.34</v>
      </c>
      <c r="D50" s="15">
        <v>3.04</v>
      </c>
      <c r="E50" s="47">
        <v>3.43</v>
      </c>
      <c r="F50" s="15">
        <v>2.5</v>
      </c>
      <c r="G50" s="48">
        <v>6.25</v>
      </c>
      <c r="H50" s="15">
        <v>2.99</v>
      </c>
      <c r="I50" s="18"/>
      <c r="J50" s="30">
        <f t="shared" ref="J50" si="21">IFERROR(IF(D50&gt;C50,(D50-C50)/D50,(C50-D50)/C50),"Н.д.")</f>
        <v>0.29953917050691242</v>
      </c>
      <c r="K50" s="30">
        <f t="shared" ref="K50" si="22">IFERROR(IF(F50&gt;E50,(F50-E50)/F50,(E50-F50)/E50),"Н.д.")</f>
        <v>0.2711370262390671</v>
      </c>
      <c r="L50" s="30">
        <f t="shared" ref="L50" si="23">IFERROR(IF(H50&gt;G50,(H50-G50)/H50,(G50-H50)/G50),"Н.д.")</f>
        <v>0.52159999999999995</v>
      </c>
      <c r="M50" s="18"/>
    </row>
    <row r="51" spans="1:13" ht="15.75" thickBot="1" x14ac:dyDescent="0.3">
      <c r="A51" s="21"/>
      <c r="B51" s="21"/>
      <c r="C51" s="21"/>
      <c r="D51" s="21"/>
      <c r="E51" s="21"/>
      <c r="F51" s="21"/>
      <c r="G51" s="21"/>
      <c r="H51" s="21"/>
      <c r="I51" s="18"/>
      <c r="J51" s="31"/>
      <c r="K51" s="31"/>
      <c r="L51" s="31"/>
      <c r="M51" s="18"/>
    </row>
    <row r="52" spans="1:13" ht="18.75" x14ac:dyDescent="0.25">
      <c r="A52" s="62" t="s">
        <v>25</v>
      </c>
      <c r="B52" s="22" t="s">
        <v>33</v>
      </c>
      <c r="C52" s="15" t="s">
        <v>2</v>
      </c>
      <c r="D52" s="15" t="s">
        <v>2</v>
      </c>
      <c r="E52" s="47">
        <v>1.24</v>
      </c>
      <c r="F52" s="15">
        <v>2.5</v>
      </c>
      <c r="G52" s="47">
        <v>1.22</v>
      </c>
      <c r="H52" s="15">
        <v>1.1299999999999999</v>
      </c>
      <c r="I52" s="18"/>
      <c r="J52" s="30" t="str">
        <f t="shared" ref="J52" si="24">IFERROR(IF(D52&gt;C52,(D52-C52)/D52,(C52-D52)/C52),"Н.д.")</f>
        <v>Н.д.</v>
      </c>
      <c r="K52" s="30">
        <f t="shared" ref="K52" si="25">IFERROR(IF(F52&gt;E52,(F52-E52)/F52,(E52-F52)/E52),"Н.д.")</f>
        <v>0.504</v>
      </c>
      <c r="L52" s="30">
        <f t="shared" ref="L52" si="26">IFERROR(IF(H52&gt;G52,(H52-G52)/H52,(G52-H52)/G52),"Н.д.")</f>
        <v>7.3770491803278757E-2</v>
      </c>
      <c r="M52" s="18"/>
    </row>
    <row r="53" spans="1:13" x14ac:dyDescent="0.25">
      <c r="A53" s="21"/>
      <c r="B53" s="21"/>
      <c r="C53" s="21"/>
      <c r="D53" s="21"/>
      <c r="E53" s="21"/>
      <c r="F53" s="21"/>
      <c r="G53" s="21"/>
      <c r="H53" s="21"/>
      <c r="I53" s="18"/>
      <c r="J53" s="31"/>
      <c r="K53" s="31"/>
      <c r="L53" s="31"/>
      <c r="M53" s="18"/>
    </row>
    <row r="54" spans="1:13" x14ac:dyDescent="0.25">
      <c r="A54" s="108" t="s">
        <v>27</v>
      </c>
      <c r="B54" s="22" t="s">
        <v>31</v>
      </c>
      <c r="C54" s="15" t="s">
        <v>38</v>
      </c>
      <c r="D54" s="15" t="s">
        <v>38</v>
      </c>
      <c r="E54" s="82">
        <v>3.44</v>
      </c>
      <c r="F54" s="15">
        <v>2.5</v>
      </c>
      <c r="G54" s="83">
        <v>2.59</v>
      </c>
      <c r="H54" s="15">
        <v>1.53</v>
      </c>
      <c r="I54" s="18"/>
      <c r="J54" s="30" t="str">
        <f>IFERROR(IF(D54&gt;C54,(D54-C54)/D54,(C54-D54)/C54),"Н.д.")</f>
        <v>Н.д.</v>
      </c>
      <c r="K54" s="30">
        <f>IFERROR(IF(F54&gt;E54,(F54-E54)/F54,(E54-F54)/E54),"Н.д.")</f>
        <v>0.27325581395348836</v>
      </c>
      <c r="L54" s="30">
        <f>IFERROR(IF(H54&gt;G54,(H54-G54)/H54,(G54-H54)/G54),"Н.д.")</f>
        <v>0.40926640926640923</v>
      </c>
      <c r="M54" s="18"/>
    </row>
    <row r="55" spans="1:13" x14ac:dyDescent="0.25">
      <c r="A55" s="108"/>
      <c r="B55" s="22" t="s">
        <v>32</v>
      </c>
      <c r="C55" s="15" t="s">
        <v>38</v>
      </c>
      <c r="D55" s="15">
        <v>3.04</v>
      </c>
      <c r="E55" s="47">
        <v>3.43</v>
      </c>
      <c r="F55" s="15">
        <v>2.5</v>
      </c>
      <c r="G55" s="83">
        <v>3.48</v>
      </c>
      <c r="H55" s="15">
        <v>1.62</v>
      </c>
      <c r="I55" s="18"/>
      <c r="J55" s="30" t="str">
        <f t="shared" ref="J55" si="27">IFERROR(IF(D55&gt;C55,(D55-C55)/D55,(C55-D55)/C55),"Н.д.")</f>
        <v>Н.д.</v>
      </c>
      <c r="K55" s="30">
        <f t="shared" ref="K55" si="28">IFERROR(IF(F55&gt;E55,(F55-E55)/F55,(E55-F55)/E55),"Н.д.")</f>
        <v>0.2711370262390671</v>
      </c>
      <c r="L55" s="30">
        <f t="shared" ref="L55" si="29">IFERROR(IF(H55&gt;G55,(H55-G55)/H55,(G55-H55)/G55),"Н.д.")</f>
        <v>0.53448275862068961</v>
      </c>
      <c r="M55" s="18"/>
    </row>
    <row r="56" spans="1:13" ht="15.75" thickBot="1" x14ac:dyDescent="0.3">
      <c r="A56" s="21"/>
      <c r="B56" s="21"/>
      <c r="C56" s="21"/>
      <c r="D56" s="21"/>
      <c r="E56" s="21"/>
      <c r="F56" s="21"/>
      <c r="G56" s="21"/>
      <c r="H56" s="21"/>
      <c r="I56" s="18"/>
      <c r="J56" s="31"/>
      <c r="K56" s="31"/>
      <c r="L56" s="31"/>
      <c r="M56" s="18"/>
    </row>
    <row r="57" spans="1:13" ht="18.75" x14ac:dyDescent="0.25">
      <c r="A57" s="63" t="s">
        <v>28</v>
      </c>
      <c r="B57" s="22" t="s">
        <v>32</v>
      </c>
      <c r="C57" s="15" t="s">
        <v>38</v>
      </c>
      <c r="D57" s="15">
        <v>3.04</v>
      </c>
      <c r="E57" s="47">
        <v>4.03</v>
      </c>
      <c r="F57" s="15">
        <v>2.5</v>
      </c>
      <c r="G57" s="47">
        <v>2.86</v>
      </c>
      <c r="H57" s="15">
        <v>1.97</v>
      </c>
      <c r="I57" s="18"/>
      <c r="J57" s="30" t="str">
        <f t="shared" ref="J57" si="30">IFERROR(IF(D57&gt;C57,(D57-C57)/D57,(C57-D57)/C57),"Н.д.")</f>
        <v>Н.д.</v>
      </c>
      <c r="K57" s="30">
        <f t="shared" ref="K57" si="31">IFERROR(IF(F57&gt;E57,(F57-E57)/F57,(E57-F57)/E57),"Н.д.")</f>
        <v>0.3796526054590571</v>
      </c>
      <c r="L57" s="30">
        <f t="shared" ref="L57" si="32">IFERROR(IF(H57&gt;G57,(H57-G57)/H57,(G57-H57)/G57),"Н.д.")</f>
        <v>0.31118881118881114</v>
      </c>
      <c r="M57" s="18"/>
    </row>
    <row r="58" spans="1:13" x14ac:dyDescent="0.25">
      <c r="A58" s="21"/>
      <c r="B58" s="21"/>
      <c r="C58" s="21"/>
      <c r="D58" s="21"/>
      <c r="E58" s="21"/>
      <c r="F58" s="21"/>
      <c r="G58" s="21"/>
      <c r="H58" s="21"/>
      <c r="I58" s="18"/>
      <c r="J58" s="31"/>
      <c r="K58" s="31"/>
      <c r="L58" s="31"/>
      <c r="M58" s="18"/>
    </row>
    <row r="61" spans="1:13" x14ac:dyDescent="0.25">
      <c r="A61" s="120" t="s">
        <v>144</v>
      </c>
      <c r="B61" s="120"/>
      <c r="C61" s="120"/>
      <c r="D61" s="120"/>
      <c r="E61" s="120"/>
      <c r="F61" s="120"/>
    </row>
    <row r="62" spans="1:13" x14ac:dyDescent="0.25">
      <c r="A62" s="91"/>
      <c r="B62" s="119" t="s">
        <v>142</v>
      </c>
      <c r="C62" s="119"/>
      <c r="D62" s="119"/>
      <c r="E62" s="119"/>
      <c r="F62" s="119"/>
    </row>
    <row r="63" spans="1:13" ht="18.75" x14ac:dyDescent="0.25">
      <c r="A63" s="92" t="s">
        <v>24</v>
      </c>
      <c r="B63" s="91" t="s">
        <v>34</v>
      </c>
      <c r="C63" s="91" t="s">
        <v>35</v>
      </c>
      <c r="D63" s="91"/>
      <c r="E63" s="91"/>
      <c r="F63" s="91"/>
      <c r="J63"/>
      <c r="K63"/>
      <c r="L63"/>
    </row>
    <row r="64" spans="1:13" ht="18.75" x14ac:dyDescent="0.25">
      <c r="A64" s="92" t="s">
        <v>25</v>
      </c>
      <c r="B64" s="91" t="s">
        <v>34</v>
      </c>
      <c r="C64" s="91" t="s">
        <v>35</v>
      </c>
      <c r="D64" s="91"/>
      <c r="E64" s="91"/>
      <c r="F64" s="91"/>
      <c r="J64"/>
      <c r="K64"/>
      <c r="L64"/>
    </row>
    <row r="65" spans="1:12" ht="18.75" x14ac:dyDescent="0.25">
      <c r="A65" s="92" t="s">
        <v>26</v>
      </c>
      <c r="B65" s="91" t="s">
        <v>31</v>
      </c>
      <c r="C65" s="91" t="s">
        <v>33</v>
      </c>
      <c r="D65" s="91" t="s">
        <v>34</v>
      </c>
      <c r="E65" s="91" t="s">
        <v>35</v>
      </c>
      <c r="F65" s="91"/>
      <c r="J65"/>
      <c r="K65"/>
      <c r="L65"/>
    </row>
    <row r="66" spans="1:12" ht="18.75" x14ac:dyDescent="0.25">
      <c r="A66" s="92" t="s">
        <v>27</v>
      </c>
      <c r="B66" s="91" t="s">
        <v>33</v>
      </c>
      <c r="C66" s="91" t="s">
        <v>34</v>
      </c>
      <c r="D66" s="91" t="s">
        <v>35</v>
      </c>
      <c r="E66" s="91"/>
      <c r="F66" s="91"/>
      <c r="J66"/>
      <c r="K66"/>
      <c r="L66"/>
    </row>
    <row r="67" spans="1:12" ht="18.75" x14ac:dyDescent="0.25">
      <c r="A67" s="92" t="s">
        <v>143</v>
      </c>
      <c r="B67" s="91" t="s">
        <v>31</v>
      </c>
      <c r="C67" s="91" t="s">
        <v>33</v>
      </c>
      <c r="D67" s="91" t="s">
        <v>34</v>
      </c>
      <c r="E67" s="91" t="s">
        <v>35</v>
      </c>
      <c r="F67" s="91"/>
      <c r="J67"/>
      <c r="K67"/>
      <c r="L67"/>
    </row>
    <row r="68" spans="1:12" ht="37.5" x14ac:dyDescent="0.25">
      <c r="A68" s="72" t="s">
        <v>29</v>
      </c>
      <c r="B68" s="91" t="s">
        <v>31</v>
      </c>
      <c r="C68" s="91" t="s">
        <v>32</v>
      </c>
      <c r="D68" s="91" t="s">
        <v>33</v>
      </c>
      <c r="E68" s="91" t="s">
        <v>34</v>
      </c>
      <c r="F68" s="91" t="s">
        <v>35</v>
      </c>
      <c r="J68"/>
      <c r="K68"/>
      <c r="L68"/>
    </row>
    <row r="69" spans="1:12" ht="37.5" x14ac:dyDescent="0.25">
      <c r="A69" s="72" t="s">
        <v>30</v>
      </c>
      <c r="B69" s="91" t="s">
        <v>31</v>
      </c>
      <c r="C69" s="91" t="s">
        <v>32</v>
      </c>
      <c r="D69" s="91" t="s">
        <v>33</v>
      </c>
      <c r="E69" s="91" t="s">
        <v>34</v>
      </c>
      <c r="F69" s="91" t="s">
        <v>35</v>
      </c>
      <c r="J69"/>
      <c r="K69"/>
      <c r="L69"/>
    </row>
  </sheetData>
  <mergeCells count="25">
    <mergeCell ref="B62:F62"/>
    <mergeCell ref="A61:F61"/>
    <mergeCell ref="J1:J2"/>
    <mergeCell ref="K1:K2"/>
    <mergeCell ref="L1:L2"/>
    <mergeCell ref="A39:A43"/>
    <mergeCell ref="A1:B2"/>
    <mergeCell ref="C1:D1"/>
    <mergeCell ref="E1:F1"/>
    <mergeCell ref="G1:H1"/>
    <mergeCell ref="A3:A7"/>
    <mergeCell ref="A9:A13"/>
    <mergeCell ref="A15:A19"/>
    <mergeCell ref="A21:A25"/>
    <mergeCell ref="A27:A31"/>
    <mergeCell ref="A33:A37"/>
    <mergeCell ref="A54:A55"/>
    <mergeCell ref="K47:K48"/>
    <mergeCell ref="L47:L48"/>
    <mergeCell ref="A49:A50"/>
    <mergeCell ref="A47:B48"/>
    <mergeCell ref="C47:D47"/>
    <mergeCell ref="E47:F47"/>
    <mergeCell ref="G47:H47"/>
    <mergeCell ref="J47:J48"/>
  </mergeCells>
  <conditionalFormatting sqref="C3:L43">
    <cfRule type="cellIs" dxfId="0" priority="2" operator="equal">
      <formula>"нет"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FCFB-29C7-4BBC-99F2-83659607DCC2}">
  <sheetPr codeName="Лист3"/>
  <dimension ref="A1:Z97"/>
  <sheetViews>
    <sheetView tabSelected="1" topLeftCell="J13" zoomScale="115" zoomScaleNormal="115" workbookViewId="0">
      <selection activeCell="W15" sqref="W15"/>
    </sheetView>
  </sheetViews>
  <sheetFormatPr defaultRowHeight="15" x14ac:dyDescent="0.25"/>
  <cols>
    <col min="1" max="1" width="22.28515625" customWidth="1"/>
    <col min="2" max="2" width="13.7109375" style="16" customWidth="1"/>
    <col min="3" max="3" width="12.28515625" customWidth="1"/>
    <col min="4" max="4" width="19.7109375" customWidth="1"/>
    <col min="5" max="5" width="19.7109375" style="69" customWidth="1"/>
    <col min="7" max="7" width="26.42578125" customWidth="1"/>
    <col min="8" max="8" width="11.28515625" customWidth="1"/>
    <col min="9" max="9" width="11.7109375" bestFit="1" customWidth="1"/>
    <col min="10" max="10" width="19.28515625" customWidth="1"/>
    <col min="13" max="13" width="21.7109375" bestFit="1" customWidth="1"/>
    <col min="14" max="14" width="12.42578125" bestFit="1" customWidth="1"/>
    <col min="15" max="15" width="11.28515625" style="16" customWidth="1"/>
    <col min="16" max="16" width="37" bestFit="1" customWidth="1"/>
  </cols>
  <sheetData>
    <row r="1" spans="1:23" ht="19.5" thickBot="1" x14ac:dyDescent="0.35">
      <c r="A1" s="170" t="s">
        <v>42</v>
      </c>
      <c r="B1" s="170"/>
      <c r="C1" s="170"/>
      <c r="D1" s="170"/>
      <c r="E1" s="67"/>
      <c r="F1" s="52"/>
      <c r="G1" s="171" t="s">
        <v>41</v>
      </c>
      <c r="H1" s="171"/>
      <c r="I1" s="171"/>
      <c r="J1" s="171"/>
      <c r="M1" s="167" t="s">
        <v>43</v>
      </c>
      <c r="N1" s="168"/>
      <c r="O1" s="168"/>
      <c r="P1" s="169"/>
      <c r="S1" s="17"/>
    </row>
    <row r="2" spans="1:23" ht="19.5" thickBot="1" x14ac:dyDescent="0.35">
      <c r="A2" s="53" t="s">
        <v>22</v>
      </c>
      <c r="B2" s="64" t="s">
        <v>6</v>
      </c>
      <c r="C2" s="54" t="s">
        <v>5</v>
      </c>
      <c r="D2" s="53" t="s">
        <v>23</v>
      </c>
      <c r="E2" s="71" t="s">
        <v>115</v>
      </c>
      <c r="F2" s="55"/>
      <c r="G2" s="53">
        <v>1</v>
      </c>
      <c r="H2" s="54" t="s">
        <v>6</v>
      </c>
      <c r="I2" s="54" t="s">
        <v>5</v>
      </c>
      <c r="J2" s="53" t="s">
        <v>23</v>
      </c>
      <c r="K2" s="71" t="s">
        <v>115</v>
      </c>
      <c r="M2" s="90" t="s">
        <v>4</v>
      </c>
      <c r="N2" s="90" t="s">
        <v>42</v>
      </c>
      <c r="O2" s="90" t="s">
        <v>41</v>
      </c>
      <c r="P2" s="90" t="s">
        <v>44</v>
      </c>
      <c r="S2" s="96"/>
      <c r="U2" t="s">
        <v>151</v>
      </c>
      <c r="V2" t="s">
        <v>152</v>
      </c>
      <c r="W2" t="s">
        <v>153</v>
      </c>
    </row>
    <row r="3" spans="1:23" ht="14.45" customHeight="1" thickBot="1" x14ac:dyDescent="0.35">
      <c r="A3" s="159" t="s">
        <v>57</v>
      </c>
      <c r="B3" s="162">
        <v>1.5509259259259259E-2</v>
      </c>
      <c r="C3" s="56">
        <v>1.224537037037037E-2</v>
      </c>
      <c r="D3" s="154">
        <v>1.9131944444444444E-2</v>
      </c>
      <c r="E3" s="166">
        <v>0.8</v>
      </c>
      <c r="F3" s="57"/>
      <c r="G3" s="158" t="s">
        <v>113</v>
      </c>
      <c r="H3" s="156">
        <v>1.266909722222222E-2</v>
      </c>
      <c r="I3" s="56">
        <v>1.0775462962962962E-2</v>
      </c>
      <c r="J3" s="156">
        <v>1.5509259259259259E-2</v>
      </c>
      <c r="K3" s="152">
        <v>0.7</v>
      </c>
      <c r="L3" s="70"/>
      <c r="M3" s="172" t="s">
        <v>106</v>
      </c>
      <c r="N3" s="87">
        <v>1.6064814814814816E-2</v>
      </c>
      <c r="O3" s="87">
        <v>1.3101851851851852E-2</v>
      </c>
      <c r="P3" s="95">
        <v>0.23</v>
      </c>
      <c r="S3" s="17"/>
      <c r="U3">
        <v>16</v>
      </c>
      <c r="V3">
        <v>22</v>
      </c>
      <c r="W3">
        <f>100-((U3/V3)*100)</f>
        <v>27.272727272727266</v>
      </c>
    </row>
    <row r="4" spans="1:23" ht="15.75" customHeight="1" thickBot="1" x14ac:dyDescent="0.35">
      <c r="A4" s="160"/>
      <c r="B4" s="163"/>
      <c r="C4" s="56">
        <v>1.2881944444444444E-2</v>
      </c>
      <c r="D4" s="165"/>
      <c r="E4" s="166"/>
      <c r="F4" s="55"/>
      <c r="G4" s="158"/>
      <c r="H4" s="156"/>
      <c r="I4" s="56">
        <v>9.8611111111111104E-3</v>
      </c>
      <c r="J4" s="156"/>
      <c r="K4" s="153"/>
      <c r="L4" s="25"/>
      <c r="M4" s="173"/>
      <c r="N4" s="87">
        <v>1.1145833333333334E-2</v>
      </c>
      <c r="O4" s="87">
        <v>8.8310185185185193E-3</v>
      </c>
      <c r="P4" s="95">
        <v>0.26</v>
      </c>
      <c r="U4">
        <v>18.5</v>
      </c>
      <c r="V4">
        <v>23.5</v>
      </c>
      <c r="W4">
        <f t="shared" ref="W4:W28" si="0">100-((U4/V4)*100)</f>
        <v>21.276595744680847</v>
      </c>
    </row>
    <row r="5" spans="1:23" ht="15.75" customHeight="1" thickBot="1" x14ac:dyDescent="0.35">
      <c r="A5" s="160"/>
      <c r="B5" s="163"/>
      <c r="C5" s="56">
        <v>1.3402777777777777E-2</v>
      </c>
      <c r="D5" s="165"/>
      <c r="E5" s="166"/>
      <c r="F5" s="55"/>
      <c r="G5" s="55"/>
      <c r="H5" s="55"/>
      <c r="I5" s="55"/>
      <c r="J5" s="55"/>
      <c r="K5" s="25"/>
      <c r="L5" s="25"/>
      <c r="M5" s="173"/>
      <c r="N5" s="87">
        <v>1.1111111111111112E-2</v>
      </c>
      <c r="O5" s="87">
        <v>7.2569444444444443E-3</v>
      </c>
      <c r="P5" s="95">
        <v>0.53</v>
      </c>
      <c r="U5">
        <v>16</v>
      </c>
      <c r="V5">
        <v>30.5</v>
      </c>
      <c r="W5">
        <f t="shared" si="0"/>
        <v>47.540983606557376</v>
      </c>
    </row>
    <row r="6" spans="1:23" ht="15.75" customHeight="1" thickBot="1" x14ac:dyDescent="0.35">
      <c r="A6" s="160"/>
      <c r="B6" s="163"/>
      <c r="C6" s="56">
        <v>1.2881944444444444E-2</v>
      </c>
      <c r="D6" s="165"/>
      <c r="E6" s="166"/>
      <c r="F6" s="55"/>
      <c r="G6" s="53" t="s">
        <v>22</v>
      </c>
      <c r="H6" s="54" t="s">
        <v>6</v>
      </c>
      <c r="I6" s="54" t="s">
        <v>5</v>
      </c>
      <c r="J6" s="53" t="s">
        <v>23</v>
      </c>
      <c r="K6" s="71" t="s">
        <v>115</v>
      </c>
      <c r="L6" s="25"/>
      <c r="M6" s="173"/>
      <c r="N6" s="87">
        <v>1.050925925925926E-2</v>
      </c>
      <c r="O6" s="87">
        <v>6.8634259259259256E-3</v>
      </c>
      <c r="P6" s="95">
        <v>0.53</v>
      </c>
      <c r="U6">
        <v>16.5</v>
      </c>
      <c r="V6">
        <v>23.5</v>
      </c>
      <c r="W6">
        <f t="shared" si="0"/>
        <v>29.787234042553195</v>
      </c>
    </row>
    <row r="7" spans="1:23" ht="15.75" customHeight="1" thickBot="1" x14ac:dyDescent="0.35">
      <c r="A7" s="160"/>
      <c r="B7" s="163"/>
      <c r="C7" s="56">
        <v>1.4467592592592593E-2</v>
      </c>
      <c r="D7" s="165"/>
      <c r="E7" s="166"/>
      <c r="F7" s="55"/>
      <c r="G7" s="158" t="s">
        <v>107</v>
      </c>
      <c r="H7" s="156">
        <v>1.6963078703703702E-2</v>
      </c>
      <c r="I7" s="162">
        <v>1.495601851851852E-2</v>
      </c>
      <c r="J7" s="156">
        <v>2.4293981481481479E-2</v>
      </c>
      <c r="K7" s="152">
        <v>0.65</v>
      </c>
      <c r="L7" s="70"/>
      <c r="M7" s="174"/>
      <c r="N7" s="87">
        <v>1.0347222222222223E-2</v>
      </c>
      <c r="O7" s="87">
        <v>7.1412037037037034E-3</v>
      </c>
      <c r="P7" s="95">
        <v>0.45</v>
      </c>
      <c r="S7" s="94"/>
      <c r="U7">
        <v>16</v>
      </c>
      <c r="V7">
        <v>21.5</v>
      </c>
      <c r="W7">
        <f t="shared" si="0"/>
        <v>25.581395348837205</v>
      </c>
    </row>
    <row r="8" spans="1:23" ht="17.45" customHeight="1" thickBot="1" x14ac:dyDescent="0.35">
      <c r="A8" s="161"/>
      <c r="B8" s="164"/>
      <c r="C8" s="56">
        <v>1.3599537037037037E-2</v>
      </c>
      <c r="D8" s="155"/>
      <c r="E8" s="166"/>
      <c r="F8" s="55"/>
      <c r="G8" s="158"/>
      <c r="H8" s="156"/>
      <c r="I8" s="164"/>
      <c r="J8" s="156"/>
      <c r="K8" s="153"/>
      <c r="M8" s="148" t="s">
        <v>136</v>
      </c>
      <c r="N8" s="87">
        <v>8.9699074074074073E-3</v>
      </c>
      <c r="O8" s="87">
        <v>6.3773148148148148E-3</v>
      </c>
      <c r="P8" s="95">
        <v>0.41</v>
      </c>
      <c r="U8">
        <v>17.5</v>
      </c>
      <c r="V8">
        <v>33.5</v>
      </c>
      <c r="W8">
        <f t="shared" si="0"/>
        <v>47.761194029850749</v>
      </c>
    </row>
    <row r="9" spans="1:23" ht="14.45" customHeight="1" thickBot="1" x14ac:dyDescent="0.35">
      <c r="A9" s="55"/>
      <c r="B9" s="65"/>
      <c r="C9" s="55"/>
      <c r="D9" s="55"/>
      <c r="E9" s="68"/>
      <c r="F9" s="55"/>
      <c r="G9" s="55"/>
      <c r="H9" s="55"/>
      <c r="I9" s="55"/>
      <c r="J9" s="55"/>
      <c r="M9" s="149"/>
      <c r="N9" s="87">
        <v>4.9537037037037041E-3</v>
      </c>
      <c r="O9" s="87">
        <v>3.7037037037037038E-3</v>
      </c>
      <c r="P9" s="95">
        <v>0.34</v>
      </c>
      <c r="U9">
        <v>15.2</v>
      </c>
      <c r="V9">
        <v>23</v>
      </c>
      <c r="W9">
        <f t="shared" si="0"/>
        <v>33.913043478260875</v>
      </c>
    </row>
    <row r="10" spans="1:23" ht="19.5" thickBot="1" x14ac:dyDescent="0.35">
      <c r="A10" s="53" t="s">
        <v>22</v>
      </c>
      <c r="B10" s="64" t="s">
        <v>6</v>
      </c>
      <c r="C10" s="54" t="s">
        <v>5</v>
      </c>
      <c r="D10" s="53" t="s">
        <v>23</v>
      </c>
      <c r="E10" s="71" t="s">
        <v>115</v>
      </c>
      <c r="F10" s="55"/>
      <c r="G10" s="53" t="s">
        <v>22</v>
      </c>
      <c r="H10" s="54" t="s">
        <v>6</v>
      </c>
      <c r="I10" s="54" t="s">
        <v>5</v>
      </c>
      <c r="J10" s="53" t="s">
        <v>23</v>
      </c>
      <c r="K10" s="71" t="s">
        <v>115</v>
      </c>
      <c r="M10" s="150"/>
      <c r="N10" s="87">
        <v>5.138888888888889E-3</v>
      </c>
      <c r="O10" s="87">
        <v>3.5879629629629629E-3</v>
      </c>
      <c r="P10" s="95">
        <v>0.43</v>
      </c>
      <c r="U10">
        <v>14</v>
      </c>
      <c r="V10">
        <v>28.3</v>
      </c>
      <c r="W10">
        <f t="shared" si="0"/>
        <v>50.53003533568905</v>
      </c>
    </row>
    <row r="11" spans="1:23" ht="15" customHeight="1" thickBot="1" x14ac:dyDescent="0.35">
      <c r="A11" s="159" t="s">
        <v>58</v>
      </c>
      <c r="B11" s="162">
        <v>1.732997685185185E-2</v>
      </c>
      <c r="C11" s="56">
        <v>1.5347222222222222E-2</v>
      </c>
      <c r="D11" s="154">
        <v>2.6539351851851852E-2</v>
      </c>
      <c r="E11" s="166">
        <v>0.5</v>
      </c>
      <c r="F11" s="70"/>
      <c r="G11" s="158" t="s">
        <v>108</v>
      </c>
      <c r="H11" s="156">
        <v>3.147476851851852E-2</v>
      </c>
      <c r="I11" s="56">
        <v>1.5622685185185184E-2</v>
      </c>
      <c r="J11" s="156">
        <v>2.4236111111111111E-2</v>
      </c>
      <c r="K11" s="152">
        <v>0.65</v>
      </c>
      <c r="L11" s="70"/>
      <c r="M11" s="148" t="s">
        <v>111</v>
      </c>
      <c r="N11" s="87">
        <v>1.4467592592592593E-2</v>
      </c>
      <c r="O11" s="87">
        <v>1.6643518518518519E-2</v>
      </c>
      <c r="P11" s="95">
        <f>(O11-N11)/O11</f>
        <v>0.13073713490959671</v>
      </c>
      <c r="U11">
        <v>14.5</v>
      </c>
      <c r="V11">
        <v>28</v>
      </c>
      <c r="W11">
        <f t="shared" si="0"/>
        <v>48.214285714285708</v>
      </c>
    </row>
    <row r="12" spans="1:23" ht="15" customHeight="1" thickBot="1" x14ac:dyDescent="0.35">
      <c r="A12" s="160"/>
      <c r="B12" s="163"/>
      <c r="C12" s="56">
        <v>1.0729166666666666E-2</v>
      </c>
      <c r="D12" s="165"/>
      <c r="E12" s="166"/>
      <c r="F12" s="55"/>
      <c r="G12" s="158"/>
      <c r="H12" s="156"/>
      <c r="I12" s="56">
        <v>1.6571759259259258E-2</v>
      </c>
      <c r="J12" s="156"/>
      <c r="K12" s="153"/>
      <c r="M12" s="150"/>
      <c r="N12" s="87">
        <v>1.0555555555555556E-2</v>
      </c>
      <c r="O12" s="87">
        <v>8.9120370370370378E-3</v>
      </c>
      <c r="P12" s="95">
        <v>0.18</v>
      </c>
      <c r="U12">
        <v>15</v>
      </c>
      <c r="V12">
        <v>20</v>
      </c>
      <c r="W12">
        <f t="shared" si="0"/>
        <v>25</v>
      </c>
    </row>
    <row r="13" spans="1:23" ht="15" customHeight="1" x14ac:dyDescent="0.3">
      <c r="A13" s="160"/>
      <c r="B13" s="163"/>
      <c r="C13" s="56">
        <v>1.0625000000000001E-2</v>
      </c>
      <c r="D13" s="165"/>
      <c r="E13" s="166"/>
      <c r="F13" s="55"/>
      <c r="G13" s="55"/>
      <c r="H13" s="55"/>
      <c r="I13" s="55"/>
      <c r="J13" s="55"/>
      <c r="M13" s="25"/>
      <c r="N13" s="27"/>
      <c r="P13" s="94"/>
      <c r="U13">
        <v>7</v>
      </c>
      <c r="V13">
        <v>13</v>
      </c>
      <c r="W13">
        <f t="shared" si="0"/>
        <v>46.153846153846153</v>
      </c>
    </row>
    <row r="14" spans="1:23" ht="15" customHeight="1" x14ac:dyDescent="0.3">
      <c r="A14" s="160"/>
      <c r="B14" s="163"/>
      <c r="C14" s="56">
        <v>1.224537037037037E-2</v>
      </c>
      <c r="D14" s="165"/>
      <c r="E14" s="166"/>
      <c r="F14" s="55"/>
      <c r="G14" s="53" t="s">
        <v>22</v>
      </c>
      <c r="H14" s="54" t="s">
        <v>6</v>
      </c>
      <c r="I14" s="54" t="s">
        <v>5</v>
      </c>
      <c r="J14" s="53" t="s">
        <v>23</v>
      </c>
      <c r="K14" s="71" t="s">
        <v>115</v>
      </c>
      <c r="M14" s="25"/>
      <c r="N14" s="27"/>
      <c r="U14">
        <v>9</v>
      </c>
      <c r="V14">
        <v>12.5</v>
      </c>
      <c r="W14">
        <f t="shared" si="0"/>
        <v>28</v>
      </c>
    </row>
    <row r="15" spans="1:23" ht="15" customHeight="1" x14ac:dyDescent="0.3">
      <c r="A15" s="160"/>
      <c r="B15" s="163"/>
      <c r="C15" s="56">
        <v>1.0127314814814815E-2</v>
      </c>
      <c r="D15" s="165"/>
      <c r="E15" s="166"/>
      <c r="F15" s="55"/>
      <c r="G15" s="158" t="s">
        <v>109</v>
      </c>
      <c r="H15" s="156">
        <v>1.5706018518518518E-2</v>
      </c>
      <c r="I15" s="56">
        <v>8.6423611111111111E-3</v>
      </c>
      <c r="J15" s="156">
        <v>1.8194444444444444E-2</v>
      </c>
      <c r="K15" s="152">
        <v>0.35</v>
      </c>
      <c r="L15" s="70"/>
      <c r="U15">
        <v>27</v>
      </c>
      <c r="V15">
        <v>32</v>
      </c>
      <c r="W15">
        <f t="shared" si="0"/>
        <v>15.625</v>
      </c>
    </row>
    <row r="16" spans="1:23" ht="15" customHeight="1" x14ac:dyDescent="0.3">
      <c r="A16" s="161"/>
      <c r="B16" s="164"/>
      <c r="C16" s="56">
        <v>1.1898148148148149E-2</v>
      </c>
      <c r="D16" s="155"/>
      <c r="E16" s="166"/>
      <c r="F16" s="55"/>
      <c r="G16" s="158"/>
      <c r="H16" s="156"/>
      <c r="I16" s="56">
        <v>6.6979166666666663E-3</v>
      </c>
      <c r="J16" s="156"/>
      <c r="K16" s="157"/>
      <c r="U16">
        <v>13.8</v>
      </c>
      <c r="V16">
        <v>18.100000000000001</v>
      </c>
      <c r="W16">
        <f t="shared" si="0"/>
        <v>23.756906077348077</v>
      </c>
    </row>
    <row r="17" spans="1:23" ht="15" customHeight="1" x14ac:dyDescent="0.3">
      <c r="A17" s="55"/>
      <c r="B17" s="65"/>
      <c r="C17" s="55"/>
      <c r="D17" s="55"/>
      <c r="E17" s="68"/>
      <c r="F17" s="55"/>
      <c r="G17" s="158"/>
      <c r="H17" s="156"/>
      <c r="I17" s="56">
        <v>5.8993055555555552E-3</v>
      </c>
      <c r="J17" s="156"/>
      <c r="K17" s="157"/>
      <c r="U17">
        <v>12.8</v>
      </c>
      <c r="V17">
        <v>20.2</v>
      </c>
      <c r="W17">
        <f t="shared" si="0"/>
        <v>36.633663366336634</v>
      </c>
    </row>
    <row r="18" spans="1:23" ht="15" customHeight="1" x14ac:dyDescent="0.3">
      <c r="A18" s="53" t="s">
        <v>22</v>
      </c>
      <c r="B18" s="64" t="s">
        <v>6</v>
      </c>
      <c r="C18" s="54" t="s">
        <v>5</v>
      </c>
      <c r="D18" s="53" t="s">
        <v>23</v>
      </c>
      <c r="E18" s="71" t="s">
        <v>115</v>
      </c>
      <c r="F18" s="55"/>
      <c r="G18" s="158"/>
      <c r="H18" s="156"/>
      <c r="I18" s="56">
        <v>5.9687500000000001E-3</v>
      </c>
      <c r="J18" s="156"/>
      <c r="K18" s="157"/>
      <c r="U18">
        <v>7</v>
      </c>
      <c r="V18">
        <v>11.2</v>
      </c>
      <c r="W18">
        <f t="shared" si="0"/>
        <v>37.5</v>
      </c>
    </row>
    <row r="19" spans="1:23" ht="14.45" customHeight="1" x14ac:dyDescent="0.3">
      <c r="A19" s="159" t="s">
        <v>40</v>
      </c>
      <c r="B19" s="162">
        <v>1.2037037037037037E-2</v>
      </c>
      <c r="C19" s="56">
        <v>1.6469907407407409E-2</v>
      </c>
      <c r="D19" s="154">
        <v>1.3321759259259261E-2</v>
      </c>
      <c r="E19" s="152">
        <v>1</v>
      </c>
      <c r="F19" s="55"/>
      <c r="G19" s="158"/>
      <c r="H19" s="156"/>
      <c r="I19" s="56">
        <v>6.33912037037037E-3</v>
      </c>
      <c r="J19" s="156"/>
      <c r="K19" s="153"/>
      <c r="U19">
        <v>10.9</v>
      </c>
      <c r="V19">
        <v>19</v>
      </c>
      <c r="W19">
        <f t="shared" si="0"/>
        <v>42.631578947368418</v>
      </c>
    </row>
    <row r="20" spans="1:23" ht="15" customHeight="1" x14ac:dyDescent="0.3">
      <c r="A20" s="160"/>
      <c r="B20" s="163"/>
      <c r="C20" s="56">
        <v>1.2905092592592593E-2</v>
      </c>
      <c r="D20" s="165"/>
      <c r="E20" s="157"/>
      <c r="F20" s="55"/>
      <c r="G20" s="55"/>
      <c r="H20" s="55"/>
      <c r="I20" s="55"/>
      <c r="J20" s="55"/>
      <c r="U20">
        <v>10</v>
      </c>
      <c r="V20">
        <v>16</v>
      </c>
      <c r="W20">
        <f t="shared" si="0"/>
        <v>37.5</v>
      </c>
    </row>
    <row r="21" spans="1:23" ht="14.45" customHeight="1" x14ac:dyDescent="0.3">
      <c r="A21" s="161"/>
      <c r="B21" s="164"/>
      <c r="C21" s="56">
        <v>1.2789351851851852E-2</v>
      </c>
      <c r="D21" s="155"/>
      <c r="E21" s="153"/>
      <c r="F21" s="55"/>
      <c r="G21" s="53" t="s">
        <v>22</v>
      </c>
      <c r="H21" s="54" t="s">
        <v>6</v>
      </c>
      <c r="I21" s="54" t="s">
        <v>5</v>
      </c>
      <c r="J21" s="53" t="s">
        <v>23</v>
      </c>
      <c r="K21" s="71" t="s">
        <v>115</v>
      </c>
      <c r="U21">
        <v>10</v>
      </c>
      <c r="V21">
        <v>15</v>
      </c>
      <c r="W21">
        <f t="shared" si="0"/>
        <v>33.333333333333343</v>
      </c>
    </row>
    <row r="22" spans="1:23" ht="14.45" customHeight="1" x14ac:dyDescent="0.3">
      <c r="A22" s="55"/>
      <c r="B22" s="65"/>
      <c r="C22" s="55"/>
      <c r="D22" s="55"/>
      <c r="E22" s="68"/>
      <c r="F22" s="55"/>
      <c r="G22" s="158" t="s">
        <v>110</v>
      </c>
      <c r="H22" s="156">
        <v>2.2191898148148148E-2</v>
      </c>
      <c r="I22" s="58">
        <v>2.1988425925925925E-2</v>
      </c>
      <c r="J22" s="156">
        <v>3.0879629629629632E-2</v>
      </c>
      <c r="K22" s="152">
        <v>0.6</v>
      </c>
      <c r="L22" s="70"/>
      <c r="U22">
        <v>11</v>
      </c>
      <c r="V22">
        <v>16</v>
      </c>
      <c r="W22">
        <f t="shared" si="0"/>
        <v>31.25</v>
      </c>
    </row>
    <row r="23" spans="1:23" ht="18.75" x14ac:dyDescent="0.3">
      <c r="A23" s="53" t="s">
        <v>22</v>
      </c>
      <c r="B23" s="64" t="s">
        <v>6</v>
      </c>
      <c r="C23" s="54" t="s">
        <v>5</v>
      </c>
      <c r="D23" s="53" t="s">
        <v>23</v>
      </c>
      <c r="E23" s="71" t="s">
        <v>115</v>
      </c>
      <c r="F23" s="55"/>
      <c r="G23" s="158"/>
      <c r="H23" s="156"/>
      <c r="I23" s="59">
        <v>1.873611111111111E-2</v>
      </c>
      <c r="J23" s="156"/>
      <c r="K23" s="153"/>
      <c r="M23" s="1"/>
      <c r="P23" s="16"/>
      <c r="Q23" s="16"/>
      <c r="R23" s="16"/>
      <c r="S23" s="16"/>
      <c r="T23" s="16"/>
      <c r="U23">
        <v>11</v>
      </c>
      <c r="V23">
        <v>14</v>
      </c>
      <c r="W23">
        <f t="shared" si="0"/>
        <v>21.428571428571431</v>
      </c>
    </row>
    <row r="24" spans="1:23" ht="15" customHeight="1" x14ac:dyDescent="0.3">
      <c r="A24" s="159" t="s">
        <v>59</v>
      </c>
      <c r="B24" s="162">
        <v>1.5439814814814814E-2</v>
      </c>
      <c r="C24" s="56">
        <v>2.1377314814814814E-2</v>
      </c>
      <c r="D24" s="154">
        <v>1.8136574074074076E-2</v>
      </c>
      <c r="E24" s="152">
        <v>0.65</v>
      </c>
      <c r="F24" s="70"/>
      <c r="G24" s="55"/>
      <c r="H24" s="55"/>
      <c r="I24" s="55"/>
      <c r="J24" s="55"/>
      <c r="P24" s="16"/>
      <c r="Q24" s="16"/>
      <c r="R24" s="16"/>
      <c r="S24" s="16"/>
      <c r="T24" s="16"/>
      <c r="U24">
        <v>12.5</v>
      </c>
      <c r="V24">
        <v>22.7</v>
      </c>
      <c r="W24">
        <f t="shared" si="0"/>
        <v>44.933920704845811</v>
      </c>
    </row>
    <row r="25" spans="1:23" ht="14.45" customHeight="1" x14ac:dyDescent="0.3">
      <c r="A25" s="160"/>
      <c r="B25" s="163"/>
      <c r="C25" s="56">
        <v>1.1018518518518518E-2</v>
      </c>
      <c r="D25" s="165"/>
      <c r="E25" s="157"/>
      <c r="F25" s="55"/>
      <c r="G25" s="53" t="s">
        <v>22</v>
      </c>
      <c r="H25" s="54" t="s">
        <v>6</v>
      </c>
      <c r="I25" s="54" t="s">
        <v>5</v>
      </c>
      <c r="J25" s="53" t="s">
        <v>23</v>
      </c>
      <c r="K25" s="71" t="s">
        <v>115</v>
      </c>
      <c r="P25" s="16"/>
      <c r="Q25" s="16"/>
      <c r="R25" s="16"/>
      <c r="S25" s="16"/>
      <c r="T25" s="16"/>
      <c r="U25">
        <v>6.7</v>
      </c>
      <c r="V25">
        <v>11.7</v>
      </c>
      <c r="W25">
        <f t="shared" si="0"/>
        <v>42.735042735042725</v>
      </c>
    </row>
    <row r="26" spans="1:23" ht="15" customHeight="1" x14ac:dyDescent="0.3">
      <c r="A26" s="160"/>
      <c r="B26" s="163"/>
      <c r="C26" s="56">
        <v>1.1643518518518518E-2</v>
      </c>
      <c r="D26" s="165"/>
      <c r="E26" s="157"/>
      <c r="F26" s="55"/>
      <c r="G26" s="158" t="s">
        <v>111</v>
      </c>
      <c r="H26" s="156">
        <v>1.7468981481481478E-2</v>
      </c>
      <c r="I26" s="56">
        <v>1.2614583333333334E-2</v>
      </c>
      <c r="J26" s="156">
        <v>1.9131944444444444E-2</v>
      </c>
      <c r="K26" s="152">
        <v>0.6</v>
      </c>
      <c r="L26" s="70"/>
      <c r="P26" s="16"/>
      <c r="Q26" s="16"/>
      <c r="R26" s="16"/>
      <c r="S26" s="16"/>
      <c r="T26" s="16"/>
      <c r="U26">
        <v>10</v>
      </c>
      <c r="V26">
        <v>15.7</v>
      </c>
      <c r="W26">
        <f t="shared" si="0"/>
        <v>36.305732484076422</v>
      </c>
    </row>
    <row r="27" spans="1:23" ht="15" customHeight="1" x14ac:dyDescent="0.3">
      <c r="A27" s="161"/>
      <c r="B27" s="164"/>
      <c r="C27" s="56">
        <v>1.0856481481481481E-2</v>
      </c>
      <c r="D27" s="155"/>
      <c r="E27" s="153"/>
      <c r="F27" s="55"/>
      <c r="G27" s="158"/>
      <c r="H27" s="156"/>
      <c r="I27" s="56">
        <v>9.5358796296296285E-3</v>
      </c>
      <c r="J27" s="156"/>
      <c r="K27" s="153"/>
      <c r="P27" s="16"/>
      <c r="Q27" s="16"/>
      <c r="R27" s="16"/>
      <c r="S27" s="16"/>
      <c r="T27" s="16"/>
      <c r="U27">
        <v>13</v>
      </c>
      <c r="V27">
        <v>24</v>
      </c>
      <c r="W27">
        <f t="shared" si="0"/>
        <v>45.833333333333336</v>
      </c>
    </row>
    <row r="28" spans="1:23" ht="18.75" x14ac:dyDescent="0.3">
      <c r="A28" s="55"/>
      <c r="B28" s="65"/>
      <c r="C28" s="55"/>
      <c r="D28" s="55"/>
      <c r="E28" s="68"/>
      <c r="F28" s="55"/>
      <c r="G28" s="55"/>
      <c r="H28" s="55"/>
      <c r="I28" s="55"/>
      <c r="J28" s="55"/>
      <c r="N28" s="60"/>
      <c r="O28" s="27"/>
      <c r="P28" s="16"/>
      <c r="Q28" s="16"/>
      <c r="R28" s="16"/>
      <c r="S28" s="16"/>
      <c r="T28" s="16"/>
      <c r="U28">
        <v>5.2</v>
      </c>
      <c r="V28">
        <v>9.1999999999999993</v>
      </c>
      <c r="W28">
        <f t="shared" si="0"/>
        <v>43.478260869565212</v>
      </c>
    </row>
    <row r="29" spans="1:23" ht="18.75" x14ac:dyDescent="0.3">
      <c r="A29" s="53" t="s">
        <v>22</v>
      </c>
      <c r="B29" s="64" t="s">
        <v>6</v>
      </c>
      <c r="C29" s="54" t="s">
        <v>5</v>
      </c>
      <c r="D29" s="53" t="s">
        <v>23</v>
      </c>
      <c r="E29" s="71" t="s">
        <v>115</v>
      </c>
      <c r="F29" s="55"/>
      <c r="G29" s="53" t="s">
        <v>22</v>
      </c>
      <c r="H29" s="54" t="s">
        <v>6</v>
      </c>
      <c r="I29" s="54" t="s">
        <v>5</v>
      </c>
      <c r="J29" s="53" t="s">
        <v>23</v>
      </c>
      <c r="K29" s="71" t="s">
        <v>115</v>
      </c>
      <c r="O29"/>
      <c r="P29" s="16"/>
      <c r="Q29" s="16"/>
      <c r="R29" s="16"/>
      <c r="S29" s="16"/>
      <c r="T29" s="16"/>
    </row>
    <row r="30" spans="1:23" ht="14.45" customHeight="1" x14ac:dyDescent="0.3">
      <c r="A30" s="159" t="s">
        <v>60</v>
      </c>
      <c r="B30" s="162">
        <v>1.3356481481481481E-2</v>
      </c>
      <c r="C30" s="56">
        <v>1.6342592592592593E-2</v>
      </c>
      <c r="D30" s="154">
        <v>1.5520833333333334E-2</v>
      </c>
      <c r="E30" s="152">
        <v>0.75</v>
      </c>
      <c r="F30" s="70"/>
      <c r="G30" s="158" t="s">
        <v>112</v>
      </c>
      <c r="H30" s="156">
        <v>1.7039236111111113E-2</v>
      </c>
      <c r="I30" s="56">
        <v>1.4063657407407407E-2</v>
      </c>
      <c r="J30" s="156">
        <v>2.4097222222222221E-2</v>
      </c>
      <c r="K30" s="152">
        <v>0.4</v>
      </c>
      <c r="L30" s="70"/>
      <c r="N30" s="25"/>
      <c r="O30" s="27"/>
      <c r="P30" s="16"/>
      <c r="Q30" s="16"/>
      <c r="R30" s="16"/>
      <c r="S30" s="16"/>
      <c r="T30" s="16"/>
    </row>
    <row r="31" spans="1:23" ht="15" customHeight="1" x14ac:dyDescent="0.3">
      <c r="A31" s="160"/>
      <c r="B31" s="163"/>
      <c r="C31" s="56">
        <v>1.0729166666666666E-2</v>
      </c>
      <c r="D31" s="165"/>
      <c r="E31" s="157"/>
      <c r="F31" s="55"/>
      <c r="G31" s="158"/>
      <c r="H31" s="156"/>
      <c r="I31" s="56">
        <v>8.8900462962962969E-3</v>
      </c>
      <c r="J31" s="156"/>
      <c r="K31" s="157"/>
      <c r="N31" s="25"/>
      <c r="O31" s="27"/>
      <c r="P31" s="16"/>
      <c r="Q31" s="16"/>
      <c r="R31" s="16"/>
      <c r="S31" s="16"/>
      <c r="T31" s="16"/>
    </row>
    <row r="32" spans="1:23" ht="15" customHeight="1" x14ac:dyDescent="0.3">
      <c r="A32" s="160"/>
      <c r="B32" s="163"/>
      <c r="C32" s="56">
        <v>1.2233796296296296E-2</v>
      </c>
      <c r="D32" s="165"/>
      <c r="E32" s="157"/>
      <c r="F32" s="55"/>
      <c r="G32" s="158"/>
      <c r="H32" s="156"/>
      <c r="I32" s="56">
        <v>9.1446759259259259E-3</v>
      </c>
      <c r="J32" s="156"/>
      <c r="K32" s="157"/>
      <c r="O32" s="27"/>
      <c r="P32" s="16"/>
      <c r="Q32" s="16"/>
      <c r="R32" s="16"/>
      <c r="S32" s="16"/>
      <c r="T32" s="16"/>
    </row>
    <row r="33" spans="1:26" ht="15" customHeight="1" x14ac:dyDescent="0.3">
      <c r="A33" s="161"/>
      <c r="B33" s="164"/>
      <c r="C33" s="56">
        <v>1.1180555555555555E-2</v>
      </c>
      <c r="D33" s="155"/>
      <c r="E33" s="153"/>
      <c r="F33" s="55"/>
      <c r="G33" s="158"/>
      <c r="H33" s="156"/>
      <c r="I33" s="56">
        <v>8.7164351851851847E-3</v>
      </c>
      <c r="J33" s="156"/>
      <c r="K33" s="157"/>
      <c r="O33" s="27"/>
      <c r="P33" s="16"/>
      <c r="Q33" s="16"/>
      <c r="R33" s="16"/>
      <c r="S33" s="16"/>
      <c r="T33" s="16"/>
      <c r="Z33" s="26"/>
    </row>
    <row r="34" spans="1:26" ht="18.75" x14ac:dyDescent="0.3">
      <c r="A34" s="55"/>
      <c r="B34" s="65"/>
      <c r="C34" s="55"/>
      <c r="D34" s="55"/>
      <c r="E34" s="68"/>
      <c r="F34" s="55"/>
      <c r="G34" s="158"/>
      <c r="H34" s="156"/>
      <c r="I34" s="56">
        <v>8.7627314814814807E-3</v>
      </c>
      <c r="J34" s="156"/>
      <c r="K34" s="153"/>
      <c r="O34" s="27"/>
      <c r="P34" s="16"/>
      <c r="Q34" s="16"/>
      <c r="R34" s="16"/>
      <c r="S34" s="16"/>
      <c r="T34" s="16"/>
      <c r="Z34" s="26"/>
    </row>
    <row r="35" spans="1:26" ht="18.75" x14ac:dyDescent="0.3">
      <c r="A35" s="53" t="s">
        <v>22</v>
      </c>
      <c r="B35" s="64" t="s">
        <v>6</v>
      </c>
      <c r="C35" s="54" t="s">
        <v>5</v>
      </c>
      <c r="D35" s="53" t="s">
        <v>23</v>
      </c>
      <c r="E35" s="71" t="s">
        <v>115</v>
      </c>
      <c r="F35" s="55"/>
      <c r="G35" s="55"/>
      <c r="H35" s="55"/>
      <c r="I35" s="55"/>
      <c r="J35" s="55"/>
      <c r="O35" s="27"/>
      <c r="P35" s="16"/>
      <c r="Q35" s="16"/>
      <c r="R35" s="16"/>
      <c r="S35" s="16"/>
      <c r="T35" s="16"/>
      <c r="Z35" s="26"/>
    </row>
    <row r="36" spans="1:26" ht="15" customHeight="1" x14ac:dyDescent="0.3">
      <c r="A36" s="159" t="s">
        <v>61</v>
      </c>
      <c r="B36" s="162">
        <v>1.4999999999999999E-2</v>
      </c>
      <c r="C36" s="56">
        <v>1.4872685185185185E-2</v>
      </c>
      <c r="D36" s="154">
        <v>1.7476851851851851E-2</v>
      </c>
      <c r="E36" s="152">
        <v>0.7</v>
      </c>
      <c r="F36" s="70"/>
      <c r="G36" s="53" t="s">
        <v>22</v>
      </c>
      <c r="H36" s="54" t="s">
        <v>6</v>
      </c>
      <c r="I36" s="54" t="s">
        <v>5</v>
      </c>
      <c r="J36" s="53" t="s">
        <v>23</v>
      </c>
      <c r="K36" s="71" t="s">
        <v>115</v>
      </c>
      <c r="P36" s="16"/>
      <c r="Q36" s="16"/>
      <c r="R36" s="16"/>
      <c r="S36" s="16"/>
      <c r="T36" s="16"/>
      <c r="Z36" s="26"/>
    </row>
    <row r="37" spans="1:26" ht="18" customHeight="1" x14ac:dyDescent="0.3">
      <c r="A37" s="160"/>
      <c r="B37" s="163"/>
      <c r="C37" s="56">
        <v>1.1111111111111112E-2</v>
      </c>
      <c r="D37" s="165"/>
      <c r="E37" s="157"/>
      <c r="F37" s="55"/>
      <c r="G37" s="158" t="s">
        <v>113</v>
      </c>
      <c r="H37" s="156">
        <v>1.266909722222222E-2</v>
      </c>
      <c r="I37" s="56">
        <v>7.8483796296296288E-3</v>
      </c>
      <c r="J37" s="156">
        <v>1.5509259259259259E-2</v>
      </c>
      <c r="K37" s="152">
        <v>0.4</v>
      </c>
      <c r="L37" s="70"/>
      <c r="P37" s="16"/>
      <c r="Q37" s="16"/>
      <c r="R37" s="16"/>
      <c r="S37" s="16"/>
      <c r="T37" s="16"/>
    </row>
    <row r="38" spans="1:26" ht="15" customHeight="1" x14ac:dyDescent="0.3">
      <c r="A38" s="160"/>
      <c r="B38" s="163"/>
      <c r="C38" s="56">
        <v>1.0925925925925926E-2</v>
      </c>
      <c r="D38" s="165"/>
      <c r="E38" s="157"/>
      <c r="F38" s="55"/>
      <c r="G38" s="158"/>
      <c r="H38" s="156"/>
      <c r="I38" s="56">
        <v>5.0127314814814809E-3</v>
      </c>
      <c r="J38" s="156"/>
      <c r="K38" s="157"/>
      <c r="P38" s="16"/>
      <c r="Q38" s="16"/>
      <c r="R38" s="16"/>
      <c r="S38" s="16"/>
      <c r="T38" s="16"/>
    </row>
    <row r="39" spans="1:26" ht="15" customHeight="1" x14ac:dyDescent="0.3">
      <c r="A39" s="160"/>
      <c r="B39" s="163"/>
      <c r="C39" s="56">
        <v>1.1921296296296296E-2</v>
      </c>
      <c r="D39" s="165"/>
      <c r="E39" s="157"/>
      <c r="F39" s="55"/>
      <c r="G39" s="158"/>
      <c r="H39" s="156"/>
      <c r="I39" s="56">
        <v>4.7581018518518519E-3</v>
      </c>
      <c r="J39" s="156"/>
      <c r="K39" s="153"/>
      <c r="P39" s="16"/>
      <c r="Q39" s="16"/>
      <c r="R39" s="16"/>
      <c r="S39" s="16"/>
      <c r="T39" s="16"/>
    </row>
    <row r="40" spans="1:26" ht="15" customHeight="1" x14ac:dyDescent="0.3">
      <c r="A40" s="160"/>
      <c r="B40" s="163"/>
      <c r="C40" s="56">
        <v>1.1226851851851852E-2</v>
      </c>
      <c r="D40" s="165"/>
      <c r="E40" s="157"/>
      <c r="F40" s="55"/>
      <c r="G40" s="55"/>
      <c r="H40" s="55"/>
      <c r="I40" s="55"/>
      <c r="J40" s="55"/>
      <c r="P40" s="16"/>
      <c r="Q40" s="16"/>
      <c r="R40" s="16"/>
      <c r="S40" s="16"/>
      <c r="T40" s="16"/>
    </row>
    <row r="41" spans="1:26" ht="15" customHeight="1" x14ac:dyDescent="0.3">
      <c r="A41" s="161"/>
      <c r="B41" s="164"/>
      <c r="C41" s="56">
        <v>1.0856481481481481E-2</v>
      </c>
      <c r="D41" s="155"/>
      <c r="E41" s="153"/>
      <c r="F41" s="55"/>
      <c r="G41" s="53" t="s">
        <v>22</v>
      </c>
      <c r="H41" s="54" t="s">
        <v>6</v>
      </c>
      <c r="I41" s="54" t="s">
        <v>5</v>
      </c>
      <c r="J41" s="53" t="s">
        <v>23</v>
      </c>
      <c r="K41" s="71" t="s">
        <v>115</v>
      </c>
      <c r="P41" s="16"/>
      <c r="Q41" s="16"/>
      <c r="R41" s="16"/>
      <c r="S41" s="16"/>
      <c r="T41" s="16"/>
    </row>
    <row r="42" spans="1:26" ht="18.75" x14ac:dyDescent="0.3">
      <c r="A42" s="55"/>
      <c r="B42" s="65"/>
      <c r="C42" s="55"/>
      <c r="D42" s="55"/>
      <c r="E42" s="68"/>
      <c r="F42" s="55"/>
      <c r="G42" s="158" t="s">
        <v>106</v>
      </c>
      <c r="H42" s="156">
        <v>1.6386805555555557E-2</v>
      </c>
      <c r="I42" s="56">
        <v>1.3100694444444444E-2</v>
      </c>
      <c r="J42" s="156">
        <v>1.8739467592592592E-2</v>
      </c>
      <c r="K42" s="152">
        <v>0.4</v>
      </c>
      <c r="L42" s="70"/>
      <c r="P42" s="16"/>
      <c r="Q42" s="16"/>
      <c r="R42" s="16"/>
      <c r="S42" s="16"/>
      <c r="T42" s="16"/>
    </row>
    <row r="43" spans="1:26" ht="18.75" x14ac:dyDescent="0.3">
      <c r="A43" s="53" t="s">
        <v>22</v>
      </c>
      <c r="B43" s="64" t="s">
        <v>6</v>
      </c>
      <c r="C43" s="54" t="s">
        <v>5</v>
      </c>
      <c r="D43" s="53" t="s">
        <v>23</v>
      </c>
      <c r="E43" s="71" t="s">
        <v>115</v>
      </c>
      <c r="F43" s="55"/>
      <c r="G43" s="158"/>
      <c r="H43" s="156"/>
      <c r="I43" s="56">
        <v>8.8298611111111112E-3</v>
      </c>
      <c r="J43" s="156"/>
      <c r="K43" s="157"/>
      <c r="P43" s="16"/>
      <c r="Q43" s="16"/>
      <c r="R43" s="16"/>
      <c r="S43" s="16"/>
      <c r="T43" s="16"/>
    </row>
    <row r="44" spans="1:26" ht="15" customHeight="1" x14ac:dyDescent="0.3">
      <c r="A44" s="159" t="s">
        <v>62</v>
      </c>
      <c r="B44" s="162">
        <v>1.9941550925925929E-2</v>
      </c>
      <c r="C44" s="56">
        <v>2.3347222222222224E-2</v>
      </c>
      <c r="D44" s="154">
        <v>1.5925925925925927E-2</v>
      </c>
      <c r="E44" s="152">
        <v>0.8</v>
      </c>
      <c r="F44" s="70"/>
      <c r="G44" s="158"/>
      <c r="H44" s="156"/>
      <c r="I44" s="56">
        <v>7.2557870370370372E-3</v>
      </c>
      <c r="J44" s="156"/>
      <c r="K44" s="157"/>
      <c r="P44" s="16"/>
      <c r="Q44" s="16"/>
      <c r="R44" s="16"/>
      <c r="S44" s="16"/>
      <c r="T44" s="16"/>
    </row>
    <row r="45" spans="1:26" ht="16.899999999999999" customHeight="1" x14ac:dyDescent="0.3">
      <c r="A45" s="160"/>
      <c r="B45" s="163"/>
      <c r="C45" s="56">
        <v>1.2872685185185185E-2</v>
      </c>
      <c r="D45" s="165"/>
      <c r="E45" s="157"/>
      <c r="F45" s="55"/>
      <c r="G45" s="158"/>
      <c r="H45" s="156"/>
      <c r="I45" s="56">
        <v>6.8622685185185184E-3</v>
      </c>
      <c r="J45" s="156"/>
      <c r="K45" s="157"/>
      <c r="P45" s="16"/>
      <c r="Q45" s="16"/>
      <c r="R45" s="16"/>
      <c r="S45" s="16"/>
      <c r="T45" s="16"/>
    </row>
    <row r="46" spans="1:26" ht="15" customHeight="1" x14ac:dyDescent="0.3">
      <c r="A46" s="160"/>
      <c r="B46" s="163"/>
      <c r="C46" s="56">
        <v>1.2178240740740741E-2</v>
      </c>
      <c r="D46" s="165"/>
      <c r="E46" s="157"/>
      <c r="F46" s="55"/>
      <c r="G46" s="158"/>
      <c r="H46" s="156"/>
      <c r="I46" s="56">
        <v>7.1400462962962962E-3</v>
      </c>
      <c r="J46" s="156"/>
      <c r="K46" s="153"/>
    </row>
    <row r="47" spans="1:26" ht="15" customHeight="1" x14ac:dyDescent="0.3">
      <c r="A47" s="161"/>
      <c r="B47" s="164"/>
      <c r="C47" s="56">
        <v>1.1368055555555557E-2</v>
      </c>
      <c r="D47" s="155"/>
      <c r="E47" s="153"/>
      <c r="F47" s="55"/>
      <c r="G47" s="55"/>
      <c r="H47" s="55"/>
      <c r="I47" s="55"/>
      <c r="J47" s="55"/>
    </row>
    <row r="48" spans="1:26" ht="18.75" x14ac:dyDescent="0.3">
      <c r="A48" s="55"/>
      <c r="B48" s="65"/>
      <c r="C48" s="55"/>
      <c r="D48" s="55"/>
      <c r="E48" s="68"/>
      <c r="F48" s="55"/>
      <c r="G48" s="53" t="s">
        <v>22</v>
      </c>
      <c r="H48" s="54" t="s">
        <v>6</v>
      </c>
      <c r="I48" s="54" t="s">
        <v>5</v>
      </c>
      <c r="J48" s="53" t="s">
        <v>23</v>
      </c>
      <c r="K48" s="71" t="s">
        <v>115</v>
      </c>
    </row>
    <row r="49" spans="1:19" ht="18.75" x14ac:dyDescent="0.3">
      <c r="A49" s="61" t="s">
        <v>22</v>
      </c>
      <c r="B49" s="66" t="s">
        <v>6</v>
      </c>
      <c r="C49" s="61" t="s">
        <v>5</v>
      </c>
      <c r="D49" s="61" t="s">
        <v>23</v>
      </c>
      <c r="E49" s="71" t="s">
        <v>115</v>
      </c>
      <c r="F49" s="55"/>
      <c r="G49" s="159" t="s">
        <v>114</v>
      </c>
      <c r="H49" s="154">
        <v>1.5010648148148148E-2</v>
      </c>
      <c r="I49" s="58">
        <v>1.1478009259259261E-2</v>
      </c>
      <c r="J49" s="154">
        <v>1.4444444444444446E-2</v>
      </c>
      <c r="K49" s="152">
        <v>0.55000000000000004</v>
      </c>
      <c r="L49" s="70"/>
    </row>
    <row r="50" spans="1:19" ht="18.75" x14ac:dyDescent="0.3">
      <c r="A50" s="159" t="s">
        <v>106</v>
      </c>
      <c r="B50" s="162">
        <v>1.6386805555555557E-2</v>
      </c>
      <c r="C50" s="56">
        <v>1.6064814814814816E-2</v>
      </c>
      <c r="D50" s="154">
        <v>1.8739467592592592E-2</v>
      </c>
      <c r="E50" s="152">
        <v>0.6</v>
      </c>
      <c r="F50" s="70"/>
      <c r="G50" s="161"/>
      <c r="H50" s="155"/>
      <c r="I50" s="59">
        <v>7.091435185185185E-3</v>
      </c>
      <c r="J50" s="155"/>
      <c r="K50" s="153"/>
    </row>
    <row r="51" spans="1:19" ht="18.75" x14ac:dyDescent="0.3">
      <c r="A51" s="160"/>
      <c r="B51" s="163"/>
      <c r="C51" s="56">
        <v>1.1145833333333334E-2</v>
      </c>
      <c r="D51" s="165"/>
      <c r="E51" s="157"/>
      <c r="F51" s="55"/>
      <c r="G51" s="55"/>
      <c r="H51" s="55"/>
      <c r="I51" s="55"/>
      <c r="J51" s="55"/>
    </row>
    <row r="52" spans="1:19" ht="18.75" x14ac:dyDescent="0.3">
      <c r="A52" s="160"/>
      <c r="B52" s="163"/>
      <c r="C52" s="56">
        <v>1.1111111111111112E-2</v>
      </c>
      <c r="D52" s="165"/>
      <c r="E52" s="157"/>
      <c r="F52" s="55"/>
      <c r="G52" s="53" t="s">
        <v>22</v>
      </c>
      <c r="H52" s="54" t="s">
        <v>6</v>
      </c>
      <c r="I52" s="54" t="s">
        <v>5</v>
      </c>
      <c r="J52" s="53" t="s">
        <v>23</v>
      </c>
      <c r="K52" s="71" t="s">
        <v>115</v>
      </c>
    </row>
    <row r="53" spans="1:19" ht="18.75" x14ac:dyDescent="0.3">
      <c r="A53" s="160"/>
      <c r="B53" s="163"/>
      <c r="C53" s="56">
        <v>1.050925925925926E-2</v>
      </c>
      <c r="D53" s="165"/>
      <c r="E53" s="157"/>
      <c r="F53" s="55"/>
      <c r="G53" s="158" t="s">
        <v>109</v>
      </c>
      <c r="H53" s="156">
        <v>1.6400462962962964E-2</v>
      </c>
      <c r="I53" s="56">
        <v>1.074537037037037E-2</v>
      </c>
      <c r="J53" s="156">
        <v>1.8194444444444444E-2</v>
      </c>
      <c r="K53" s="151">
        <v>0.45</v>
      </c>
      <c r="L53" s="70"/>
    </row>
    <row r="54" spans="1:19" ht="18.75" x14ac:dyDescent="0.3">
      <c r="A54" s="160"/>
      <c r="B54" s="163"/>
      <c r="C54" s="56">
        <v>1.0347222222222223E-2</v>
      </c>
      <c r="D54" s="165"/>
      <c r="E54" s="157"/>
      <c r="F54" s="55"/>
      <c r="G54" s="158"/>
      <c r="H54" s="156"/>
      <c r="I54" s="56">
        <v>7.30787037037037E-3</v>
      </c>
      <c r="J54" s="156"/>
      <c r="K54" s="151"/>
    </row>
    <row r="55" spans="1:19" ht="18.75" x14ac:dyDescent="0.3">
      <c r="A55" s="161"/>
      <c r="B55" s="164"/>
      <c r="C55" s="56">
        <v>9.780092592592592E-3</v>
      </c>
      <c r="D55" s="155"/>
      <c r="E55" s="153"/>
      <c r="F55" s="55"/>
      <c r="G55" s="158"/>
      <c r="H55" s="156"/>
      <c r="I55" s="56">
        <v>6.6944444444444438E-3</v>
      </c>
      <c r="J55" s="156"/>
      <c r="K55" s="151"/>
    </row>
    <row r="56" spans="1:19" ht="18.75" x14ac:dyDescent="0.3">
      <c r="A56" s="55"/>
      <c r="B56" s="65"/>
      <c r="C56" s="55"/>
      <c r="D56" s="55"/>
      <c r="E56" s="68"/>
      <c r="F56" s="55"/>
      <c r="G56" s="158"/>
      <c r="H56" s="156"/>
      <c r="I56" s="56">
        <v>6.8101851851851847E-3</v>
      </c>
      <c r="J56" s="156"/>
      <c r="K56" s="151"/>
    </row>
    <row r="57" spans="1:19" ht="18.75" x14ac:dyDescent="0.3">
      <c r="A57" s="55"/>
      <c r="B57" s="65"/>
      <c r="C57" s="55"/>
      <c r="D57" s="55"/>
      <c r="E57" s="68"/>
      <c r="F57" s="55"/>
    </row>
    <row r="58" spans="1:19" ht="15.75" thickBot="1" x14ac:dyDescent="0.3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6"/>
      <c r="L58" s="86"/>
      <c r="M58" s="86"/>
      <c r="N58" s="86"/>
      <c r="O58" s="86"/>
      <c r="P58" s="86"/>
      <c r="Q58" s="86"/>
      <c r="R58" s="86"/>
      <c r="S58" s="86"/>
    </row>
    <row r="59" spans="1:19" ht="19.5" thickBot="1" x14ac:dyDescent="0.35">
      <c r="A59" s="84" t="s">
        <v>22</v>
      </c>
      <c r="B59" s="85" t="s">
        <v>6</v>
      </c>
      <c r="C59" s="85" t="s">
        <v>5</v>
      </c>
      <c r="D59" s="89" t="s">
        <v>23</v>
      </c>
      <c r="E59" s="71" t="s">
        <v>115</v>
      </c>
      <c r="G59" s="84" t="s">
        <v>22</v>
      </c>
      <c r="H59" s="85" t="s">
        <v>6</v>
      </c>
      <c r="I59" s="85" t="s">
        <v>5</v>
      </c>
      <c r="J59" s="89" t="s">
        <v>23</v>
      </c>
      <c r="K59" s="71" t="s">
        <v>115</v>
      </c>
      <c r="P59" s="86"/>
      <c r="Q59" s="86"/>
      <c r="R59" s="86"/>
      <c r="S59" s="86"/>
    </row>
    <row r="60" spans="1:19" ht="55.5" customHeight="1" thickBot="1" x14ac:dyDescent="0.3">
      <c r="A60" s="148" t="s">
        <v>132</v>
      </c>
      <c r="B60" s="143">
        <v>1.1331018518518518E-2</v>
      </c>
      <c r="C60" s="87">
        <v>1.9629629629629629E-2</v>
      </c>
      <c r="D60" s="141">
        <v>2.3761574074074074E-2</v>
      </c>
      <c r="E60" s="147">
        <v>0.45</v>
      </c>
      <c r="F60" s="27"/>
      <c r="G60" s="148" t="s">
        <v>137</v>
      </c>
      <c r="H60" s="143">
        <v>1.238425925925926E-2</v>
      </c>
      <c r="I60" s="87">
        <v>1.0983796296296297E-2</v>
      </c>
      <c r="J60" s="141">
        <v>1.3472222222222222E-2</v>
      </c>
      <c r="K60" s="147">
        <v>0.7</v>
      </c>
      <c r="L60" s="27"/>
      <c r="P60" s="86"/>
      <c r="Q60" s="86"/>
      <c r="R60" s="86"/>
      <c r="S60" s="86"/>
    </row>
    <row r="61" spans="1:19" ht="19.5" thickBot="1" x14ac:dyDescent="0.3">
      <c r="A61" s="149"/>
      <c r="B61" s="146"/>
      <c r="C61" s="87">
        <v>9.0393518518518522E-3</v>
      </c>
      <c r="D61" s="145"/>
      <c r="E61" s="147"/>
      <c r="G61" s="150"/>
      <c r="H61" s="144"/>
      <c r="I61" s="87">
        <v>7.7546296296296295E-3</v>
      </c>
      <c r="J61" s="142"/>
      <c r="K61" s="147"/>
      <c r="P61" s="86"/>
      <c r="Q61" s="86"/>
      <c r="R61" s="86"/>
      <c r="S61" s="86"/>
    </row>
    <row r="62" spans="1:19" ht="19.5" thickBot="1" x14ac:dyDescent="0.3">
      <c r="A62" s="149"/>
      <c r="B62" s="146"/>
      <c r="C62" s="87">
        <v>9.1435185185185178E-3</v>
      </c>
      <c r="D62" s="145"/>
      <c r="E62" s="147"/>
      <c r="G62" s="88"/>
      <c r="H62" s="88"/>
      <c r="I62" s="88"/>
      <c r="J62" s="88"/>
      <c r="K62" s="86"/>
      <c r="P62" s="86"/>
      <c r="Q62" s="86"/>
      <c r="R62" s="86"/>
      <c r="S62" s="86"/>
    </row>
    <row r="63" spans="1:19" ht="19.5" thickBot="1" x14ac:dyDescent="0.35">
      <c r="A63" s="149"/>
      <c r="B63" s="146"/>
      <c r="C63" s="87">
        <v>1.068287037037037E-2</v>
      </c>
      <c r="D63" s="145"/>
      <c r="E63" s="147"/>
      <c r="G63" s="84" t="s">
        <v>22</v>
      </c>
      <c r="H63" s="85" t="s">
        <v>6</v>
      </c>
      <c r="I63" s="85" t="s">
        <v>5</v>
      </c>
      <c r="J63" s="89" t="s">
        <v>23</v>
      </c>
      <c r="K63" s="71" t="s">
        <v>115</v>
      </c>
      <c r="P63" s="86"/>
      <c r="Q63" s="86"/>
      <c r="R63" s="86"/>
      <c r="S63" s="86"/>
    </row>
    <row r="64" spans="1:19" ht="55.5" customHeight="1" thickBot="1" x14ac:dyDescent="0.3">
      <c r="A64" s="150"/>
      <c r="B64" s="144"/>
      <c r="C64" s="87">
        <v>1.0300925925925925E-2</v>
      </c>
      <c r="D64" s="142"/>
      <c r="E64" s="147"/>
      <c r="G64" s="148" t="s">
        <v>138</v>
      </c>
      <c r="H64" s="143">
        <v>1.5208333333333334E-2</v>
      </c>
      <c r="I64" s="87">
        <v>9.9074074074074082E-3</v>
      </c>
      <c r="J64" s="141">
        <v>2.0486111111111111E-2</v>
      </c>
      <c r="K64" s="147">
        <v>0.45</v>
      </c>
      <c r="L64" s="27"/>
      <c r="P64" s="86"/>
      <c r="Q64" s="86"/>
      <c r="R64" s="86"/>
      <c r="S64" s="86"/>
    </row>
    <row r="65" spans="1:19" ht="19.5" thickBot="1" x14ac:dyDescent="0.3">
      <c r="A65" s="88"/>
      <c r="B65" s="88"/>
      <c r="C65" s="88"/>
      <c r="D65" s="88"/>
      <c r="E65" s="88"/>
      <c r="G65" s="150"/>
      <c r="H65" s="144"/>
      <c r="I65" s="87">
        <v>7.6157407407407406E-3</v>
      </c>
      <c r="J65" s="142"/>
      <c r="K65" s="147"/>
      <c r="P65" s="86"/>
      <c r="Q65" s="86"/>
      <c r="R65" s="86"/>
      <c r="S65" s="86"/>
    </row>
    <row r="66" spans="1:19" ht="19.5" thickBot="1" x14ac:dyDescent="0.35">
      <c r="A66" s="84" t="s">
        <v>22</v>
      </c>
      <c r="B66" s="85" t="s">
        <v>6</v>
      </c>
      <c r="C66" s="85" t="s">
        <v>5</v>
      </c>
      <c r="D66" s="89" t="s">
        <v>23</v>
      </c>
      <c r="E66" s="71" t="s">
        <v>115</v>
      </c>
      <c r="G66" s="88"/>
      <c r="H66" s="88"/>
      <c r="I66" s="88"/>
      <c r="J66" s="88"/>
      <c r="K66" s="86"/>
      <c r="P66" s="86"/>
      <c r="Q66" s="86"/>
      <c r="R66" s="86"/>
      <c r="S66" s="86"/>
    </row>
    <row r="67" spans="1:19" ht="19.5" thickBot="1" x14ac:dyDescent="0.35">
      <c r="A67" s="148" t="s">
        <v>133</v>
      </c>
      <c r="B67" s="143">
        <v>1.2627314814814815E-2</v>
      </c>
      <c r="C67" s="87">
        <v>1.3090277777777777E-2</v>
      </c>
      <c r="D67" s="141">
        <v>1.2337962962962964E-2</v>
      </c>
      <c r="E67" s="147">
        <v>0.7</v>
      </c>
      <c r="F67" s="27"/>
      <c r="G67" s="84" t="s">
        <v>22</v>
      </c>
      <c r="H67" s="85" t="s">
        <v>6</v>
      </c>
      <c r="I67" s="85" t="s">
        <v>5</v>
      </c>
      <c r="J67" s="89" t="s">
        <v>23</v>
      </c>
      <c r="K67" s="71" t="s">
        <v>115</v>
      </c>
      <c r="P67" s="86"/>
      <c r="Q67" s="86"/>
      <c r="R67" s="86"/>
      <c r="S67" s="86"/>
    </row>
    <row r="68" spans="1:19" ht="19.5" thickBot="1" x14ac:dyDescent="0.3">
      <c r="A68" s="150"/>
      <c r="B68" s="144"/>
      <c r="C68" s="87">
        <v>8.7962962962962968E-3</v>
      </c>
      <c r="D68" s="142"/>
      <c r="E68" s="147"/>
      <c r="G68" s="148" t="s">
        <v>139</v>
      </c>
      <c r="H68" s="143">
        <v>5.9375000000000001E-3</v>
      </c>
      <c r="I68" s="87">
        <v>1.5752314814814816E-2</v>
      </c>
      <c r="J68" s="141">
        <v>1.03125E-2</v>
      </c>
      <c r="K68" s="147">
        <v>0.85</v>
      </c>
      <c r="L68" s="27"/>
      <c r="P68" s="86"/>
      <c r="Q68" s="86"/>
      <c r="R68" s="86"/>
      <c r="S68" s="86"/>
    </row>
    <row r="69" spans="1:19" ht="19.5" thickBot="1" x14ac:dyDescent="0.3">
      <c r="A69" s="88"/>
      <c r="B69" s="88"/>
      <c r="C69" s="88"/>
      <c r="D69" s="88"/>
      <c r="E69" s="88"/>
      <c r="G69" s="149"/>
      <c r="H69" s="146"/>
      <c r="I69" s="87">
        <v>9.525462962962963E-3</v>
      </c>
      <c r="J69" s="145"/>
      <c r="K69" s="147"/>
      <c r="P69" s="86"/>
      <c r="Q69" s="86"/>
      <c r="R69" s="86"/>
      <c r="S69" s="86"/>
    </row>
    <row r="70" spans="1:19" ht="19.5" thickBot="1" x14ac:dyDescent="0.35">
      <c r="A70" s="84" t="s">
        <v>22</v>
      </c>
      <c r="B70" s="85" t="s">
        <v>6</v>
      </c>
      <c r="C70" s="85" t="s">
        <v>5</v>
      </c>
      <c r="D70" s="89" t="s">
        <v>23</v>
      </c>
      <c r="E70" s="71" t="s">
        <v>115</v>
      </c>
      <c r="G70" s="149"/>
      <c r="H70" s="146"/>
      <c r="I70" s="87">
        <v>8.2986111111111108E-3</v>
      </c>
      <c r="J70" s="145"/>
      <c r="K70" s="147"/>
      <c r="P70" s="86"/>
      <c r="Q70" s="86"/>
      <c r="R70" s="86"/>
      <c r="S70" s="86"/>
    </row>
    <row r="71" spans="1:19" ht="19.5" thickBot="1" x14ac:dyDescent="0.3">
      <c r="A71" s="148" t="s">
        <v>134</v>
      </c>
      <c r="B71" s="143">
        <v>7.013888888888889E-3</v>
      </c>
      <c r="C71" s="87">
        <v>1.9629629629629629E-2</v>
      </c>
      <c r="D71" s="141">
        <v>1.4375000000000001E-2</v>
      </c>
      <c r="E71" s="147">
        <v>0.7</v>
      </c>
      <c r="F71" s="27"/>
      <c r="G71" s="149"/>
      <c r="H71" s="146"/>
      <c r="I71" s="87">
        <v>8.7152777777777784E-3</v>
      </c>
      <c r="J71" s="145"/>
      <c r="K71" s="147"/>
      <c r="P71" s="86"/>
      <c r="Q71" s="86"/>
      <c r="R71" s="86"/>
      <c r="S71" s="86"/>
    </row>
    <row r="72" spans="1:19" ht="19.5" thickBot="1" x14ac:dyDescent="0.3">
      <c r="A72" s="149"/>
      <c r="B72" s="146"/>
      <c r="C72" s="87">
        <v>1.0347222222222223E-2</v>
      </c>
      <c r="D72" s="145"/>
      <c r="E72" s="147"/>
      <c r="G72" s="150"/>
      <c r="H72" s="144"/>
      <c r="I72" s="87">
        <v>8.4143518518518517E-3</v>
      </c>
      <c r="J72" s="142"/>
      <c r="K72" s="147"/>
      <c r="P72" s="86"/>
      <c r="Q72" s="86"/>
      <c r="R72" s="86"/>
      <c r="S72" s="86"/>
    </row>
    <row r="73" spans="1:19" ht="19.5" thickBot="1" x14ac:dyDescent="0.3">
      <c r="A73" s="150"/>
      <c r="B73" s="144"/>
      <c r="C73" s="87">
        <v>9.8148148148148144E-3</v>
      </c>
      <c r="D73" s="142"/>
      <c r="E73" s="147"/>
      <c r="G73" s="88"/>
      <c r="H73" s="88"/>
      <c r="I73" s="88"/>
      <c r="J73" s="88"/>
      <c r="K73" s="88"/>
      <c r="P73" s="88"/>
      <c r="Q73" s="88"/>
      <c r="R73" s="88"/>
      <c r="S73" s="88"/>
    </row>
    <row r="74" spans="1:19" ht="19.5" thickBot="1" x14ac:dyDescent="0.35">
      <c r="A74" s="88"/>
      <c r="B74" s="88"/>
      <c r="C74" s="88"/>
      <c r="D74" s="88"/>
      <c r="E74" s="88"/>
      <c r="G74" s="84" t="s">
        <v>22</v>
      </c>
      <c r="H74" s="85" t="s">
        <v>6</v>
      </c>
      <c r="I74" s="85" t="s">
        <v>5</v>
      </c>
      <c r="J74" s="89" t="s">
        <v>23</v>
      </c>
      <c r="K74" s="71" t="s">
        <v>115</v>
      </c>
      <c r="P74" s="88"/>
      <c r="Q74" s="88"/>
      <c r="R74" s="88"/>
      <c r="S74" s="88"/>
    </row>
    <row r="75" spans="1:19" ht="19.5" thickBot="1" x14ac:dyDescent="0.35">
      <c r="A75" s="84" t="s">
        <v>22</v>
      </c>
      <c r="B75" s="85" t="s">
        <v>6</v>
      </c>
      <c r="C75" s="85" t="s">
        <v>5</v>
      </c>
      <c r="D75" s="89" t="s">
        <v>23</v>
      </c>
      <c r="E75" s="71" t="s">
        <v>115</v>
      </c>
      <c r="G75" s="148" t="s">
        <v>140</v>
      </c>
      <c r="H75" s="143">
        <v>1.0486111111111111E-2</v>
      </c>
      <c r="I75" s="87">
        <v>8.0902777777777778E-3</v>
      </c>
      <c r="J75" s="141">
        <v>5.2314814814814811E-3</v>
      </c>
      <c r="K75" s="147">
        <v>1</v>
      </c>
      <c r="L75" s="27"/>
      <c r="P75" s="88"/>
      <c r="Q75" s="88"/>
      <c r="R75" s="88"/>
      <c r="S75" s="88"/>
    </row>
    <row r="76" spans="1:19" ht="19.5" thickBot="1" x14ac:dyDescent="0.3">
      <c r="A76" s="148" t="s">
        <v>135</v>
      </c>
      <c r="B76" s="143">
        <v>8.0439814814814818E-3</v>
      </c>
      <c r="C76" s="87">
        <v>1.3009259259259259E-2</v>
      </c>
      <c r="D76" s="141">
        <v>1.5995370370370372E-2</v>
      </c>
      <c r="E76" s="147">
        <v>0.65</v>
      </c>
      <c r="F76" s="27"/>
      <c r="G76" s="149"/>
      <c r="H76" s="146"/>
      <c r="I76" s="87">
        <v>4.8263888888888887E-3</v>
      </c>
      <c r="J76" s="145"/>
      <c r="K76" s="147"/>
      <c r="P76" s="88"/>
      <c r="Q76" s="88"/>
      <c r="R76" s="88"/>
      <c r="S76" s="88"/>
    </row>
    <row r="77" spans="1:19" ht="19.5" thickBot="1" x14ac:dyDescent="0.3">
      <c r="A77" s="149"/>
      <c r="B77" s="146"/>
      <c r="C77" s="87">
        <v>9.6874999999999999E-3</v>
      </c>
      <c r="D77" s="145"/>
      <c r="E77" s="147"/>
      <c r="G77" s="149"/>
      <c r="H77" s="146"/>
      <c r="I77" s="87">
        <v>4.5254629629629629E-3</v>
      </c>
      <c r="J77" s="145"/>
      <c r="K77" s="147"/>
      <c r="P77" s="88"/>
      <c r="Q77" s="88"/>
      <c r="R77" s="88"/>
      <c r="S77" s="88"/>
    </row>
    <row r="78" spans="1:19" ht="19.5" thickBot="1" x14ac:dyDescent="0.3">
      <c r="A78" s="150"/>
      <c r="B78" s="144"/>
      <c r="C78" s="87">
        <v>1.0532407407407407E-2</v>
      </c>
      <c r="D78" s="142"/>
      <c r="E78" s="147"/>
      <c r="G78" s="149"/>
      <c r="H78" s="146"/>
      <c r="I78" s="87">
        <v>4.7916666666666663E-3</v>
      </c>
      <c r="J78" s="145"/>
      <c r="K78" s="147"/>
      <c r="P78" s="88"/>
      <c r="Q78" s="88"/>
      <c r="R78" s="88"/>
      <c r="S78" s="88"/>
    </row>
    <row r="79" spans="1:19" ht="19.5" thickBot="1" x14ac:dyDescent="0.3">
      <c r="A79" s="88"/>
      <c r="B79" s="88"/>
      <c r="C79" s="88"/>
      <c r="D79" s="88"/>
      <c r="E79" s="88"/>
      <c r="G79" s="150"/>
      <c r="H79" s="144"/>
      <c r="I79" s="87">
        <v>4.4444444444444444E-3</v>
      </c>
      <c r="J79" s="142"/>
      <c r="K79" s="147"/>
      <c r="P79" s="88"/>
      <c r="Q79" s="88"/>
      <c r="R79" s="88"/>
      <c r="S79" s="88"/>
    </row>
    <row r="80" spans="1:19" ht="19.5" thickBot="1" x14ac:dyDescent="0.35">
      <c r="A80" s="84" t="s">
        <v>22</v>
      </c>
      <c r="B80" s="85" t="s">
        <v>6</v>
      </c>
      <c r="C80" s="85" t="s">
        <v>5</v>
      </c>
      <c r="D80" s="89" t="s">
        <v>23</v>
      </c>
      <c r="E80" s="71" t="s">
        <v>115</v>
      </c>
      <c r="G80" s="88"/>
      <c r="H80" s="88"/>
      <c r="I80" s="88"/>
      <c r="J80" s="88"/>
      <c r="K80" s="88"/>
      <c r="P80" s="88"/>
      <c r="Q80" s="88"/>
      <c r="R80" s="88"/>
      <c r="S80" s="88"/>
    </row>
    <row r="81" spans="1:19" ht="19.5" thickBot="1" x14ac:dyDescent="0.35">
      <c r="A81" s="148" t="s">
        <v>106</v>
      </c>
      <c r="B81" s="143">
        <v>1.638888888888889E-2</v>
      </c>
      <c r="C81" s="87">
        <v>1.0648148148148148E-2</v>
      </c>
      <c r="D81" s="141">
        <v>1.923611111111111E-2</v>
      </c>
      <c r="E81" s="147">
        <v>0.55000000000000004</v>
      </c>
      <c r="F81" s="27"/>
      <c r="G81" s="84" t="s">
        <v>22</v>
      </c>
      <c r="H81" s="85" t="s">
        <v>6</v>
      </c>
      <c r="I81" s="85" t="s">
        <v>5</v>
      </c>
      <c r="J81" s="89" t="s">
        <v>23</v>
      </c>
      <c r="K81" s="71" t="s">
        <v>115</v>
      </c>
      <c r="P81" s="88"/>
      <c r="Q81" s="88"/>
      <c r="R81" s="88"/>
      <c r="S81" s="88"/>
    </row>
    <row r="82" spans="1:19" ht="54.75" customHeight="1" thickBot="1" x14ac:dyDescent="0.3">
      <c r="A82" s="150"/>
      <c r="B82" s="144"/>
      <c r="C82" s="87">
        <v>9.3402777777777772E-3</v>
      </c>
      <c r="D82" s="142"/>
      <c r="E82" s="147"/>
      <c r="G82" s="148" t="s">
        <v>141</v>
      </c>
      <c r="H82" s="143">
        <v>8.4606481481481477E-3</v>
      </c>
      <c r="I82" s="87">
        <v>1.0868055555555556E-2</v>
      </c>
      <c r="J82" s="141">
        <v>1.380787037037037E-2</v>
      </c>
      <c r="K82" s="147">
        <v>0.6</v>
      </c>
      <c r="L82" s="27"/>
      <c r="P82" s="88"/>
      <c r="Q82" s="88"/>
      <c r="R82" s="88"/>
      <c r="S82" s="88"/>
    </row>
    <row r="83" spans="1:19" ht="19.5" thickBot="1" x14ac:dyDescent="0.3">
      <c r="A83" s="88"/>
      <c r="B83" s="88"/>
      <c r="C83" s="88"/>
      <c r="D83" s="88"/>
      <c r="E83" s="88"/>
      <c r="G83" s="149"/>
      <c r="H83" s="146"/>
      <c r="I83" s="87">
        <v>7.3726851851851852E-3</v>
      </c>
      <c r="J83" s="145"/>
      <c r="K83" s="147"/>
      <c r="P83" s="88"/>
      <c r="Q83" s="88"/>
      <c r="R83" s="88"/>
      <c r="S83" s="88"/>
    </row>
    <row r="84" spans="1:19" ht="19.5" thickBot="1" x14ac:dyDescent="0.35">
      <c r="A84" s="84" t="s">
        <v>22</v>
      </c>
      <c r="B84" s="85" t="s">
        <v>6</v>
      </c>
      <c r="C84" s="85" t="s">
        <v>5</v>
      </c>
      <c r="D84" s="89" t="s">
        <v>23</v>
      </c>
      <c r="E84" s="71" t="s">
        <v>115</v>
      </c>
      <c r="G84" s="150"/>
      <c r="H84" s="144"/>
      <c r="I84" s="87">
        <v>6.5740740740740742E-3</v>
      </c>
      <c r="J84" s="142"/>
      <c r="K84" s="147"/>
      <c r="P84" s="88"/>
      <c r="Q84" s="88"/>
      <c r="R84" s="88"/>
      <c r="S84" s="88"/>
    </row>
    <row r="85" spans="1:19" ht="19.5" thickBot="1" x14ac:dyDescent="0.3">
      <c r="A85" s="148" t="s">
        <v>111</v>
      </c>
      <c r="B85" s="143">
        <v>1.7465277777777777E-2</v>
      </c>
      <c r="C85" s="87">
        <v>1.4467592592592593E-2</v>
      </c>
      <c r="D85" s="141">
        <v>2.0983796296296296E-2</v>
      </c>
      <c r="E85" s="147">
        <v>0.55000000000000004</v>
      </c>
      <c r="F85" s="27"/>
      <c r="G85" s="88"/>
      <c r="H85" s="88"/>
      <c r="I85" s="88"/>
      <c r="J85" s="88"/>
      <c r="K85" s="88"/>
      <c r="P85" s="88"/>
      <c r="Q85" s="88"/>
      <c r="R85" s="88"/>
      <c r="S85" s="88"/>
    </row>
    <row r="86" spans="1:19" ht="19.5" thickBot="1" x14ac:dyDescent="0.35">
      <c r="A86" s="150"/>
      <c r="B86" s="144"/>
      <c r="C86" s="87">
        <v>1.0555555555555556E-2</v>
      </c>
      <c r="D86" s="142"/>
      <c r="E86" s="147"/>
      <c r="G86" s="84" t="s">
        <v>22</v>
      </c>
      <c r="H86" s="85" t="s">
        <v>6</v>
      </c>
      <c r="I86" s="85" t="s">
        <v>5</v>
      </c>
      <c r="J86" s="89" t="s">
        <v>23</v>
      </c>
      <c r="K86" s="71" t="s">
        <v>115</v>
      </c>
      <c r="P86" s="88"/>
      <c r="Q86" s="88"/>
      <c r="R86" s="88"/>
      <c r="S86" s="88"/>
    </row>
    <row r="87" spans="1:19" ht="19.5" thickBot="1" x14ac:dyDescent="0.3">
      <c r="A87" s="88"/>
      <c r="B87" s="88"/>
      <c r="C87" s="88"/>
      <c r="D87" s="88"/>
      <c r="E87" s="88"/>
      <c r="G87" s="148" t="s">
        <v>111</v>
      </c>
      <c r="H87" s="143">
        <v>1.7465277777777777E-2</v>
      </c>
      <c r="I87" s="87">
        <v>1.6643518518518519E-2</v>
      </c>
      <c r="J87" s="141">
        <v>2.0983796296296296E-2</v>
      </c>
      <c r="K87" s="147">
        <v>0.5</v>
      </c>
      <c r="L87" s="27"/>
      <c r="P87" s="88"/>
      <c r="Q87" s="88"/>
      <c r="R87" s="88"/>
      <c r="S87" s="88"/>
    </row>
    <row r="88" spans="1:19" ht="19.5" thickBot="1" x14ac:dyDescent="0.35">
      <c r="A88" s="84" t="s">
        <v>22</v>
      </c>
      <c r="B88" s="85" t="s">
        <v>6</v>
      </c>
      <c r="C88" s="85" t="s">
        <v>5</v>
      </c>
      <c r="D88" s="89" t="s">
        <v>23</v>
      </c>
      <c r="E88" s="71" t="s">
        <v>115</v>
      </c>
      <c r="G88" s="149"/>
      <c r="H88" s="146"/>
      <c r="I88" s="87">
        <v>8.9120370370370378E-3</v>
      </c>
      <c r="J88" s="145"/>
      <c r="K88" s="147"/>
      <c r="P88" s="88"/>
      <c r="Q88" s="88"/>
      <c r="R88" s="88"/>
      <c r="S88" s="88"/>
    </row>
    <row r="89" spans="1:19" ht="19.5" thickBot="1" x14ac:dyDescent="0.3">
      <c r="A89" s="148" t="s">
        <v>136</v>
      </c>
      <c r="B89" s="143">
        <v>9.3865740740740732E-3</v>
      </c>
      <c r="C89" s="87">
        <v>8.9699074074074073E-3</v>
      </c>
      <c r="D89" s="141">
        <v>3.2291666666666666E-3</v>
      </c>
      <c r="E89" s="147">
        <v>1.6</v>
      </c>
      <c r="F89" s="27"/>
      <c r="G89" s="149"/>
      <c r="H89" s="146"/>
      <c r="I89" s="87">
        <v>9.479166666666667E-3</v>
      </c>
      <c r="J89" s="145"/>
      <c r="K89" s="147"/>
      <c r="P89" s="88"/>
      <c r="Q89" s="88"/>
      <c r="R89" s="88"/>
      <c r="S89" s="88"/>
    </row>
    <row r="90" spans="1:19" ht="19.5" thickBot="1" x14ac:dyDescent="0.3">
      <c r="A90" s="149"/>
      <c r="B90" s="146"/>
      <c r="C90" s="87">
        <v>4.9537037037037041E-3</v>
      </c>
      <c r="D90" s="145"/>
      <c r="E90" s="147"/>
      <c r="G90" s="149"/>
      <c r="H90" s="146"/>
      <c r="I90" s="87">
        <v>9.1435185185185178E-3</v>
      </c>
      <c r="J90" s="145"/>
      <c r="K90" s="147"/>
      <c r="P90" s="88"/>
      <c r="Q90" s="88"/>
      <c r="R90" s="88"/>
      <c r="S90" s="88"/>
    </row>
    <row r="91" spans="1:19" ht="19.5" thickBot="1" x14ac:dyDescent="0.3">
      <c r="A91" s="150"/>
      <c r="B91" s="144"/>
      <c r="C91" s="87">
        <v>5.138888888888889E-3</v>
      </c>
      <c r="D91" s="142"/>
      <c r="E91" s="147"/>
      <c r="G91" s="150"/>
      <c r="H91" s="144"/>
      <c r="I91" s="87">
        <v>9.2476851851851852E-3</v>
      </c>
      <c r="J91" s="142"/>
      <c r="K91" s="147"/>
      <c r="P91" s="88"/>
      <c r="Q91" s="88"/>
      <c r="R91" s="88"/>
      <c r="S91" s="88"/>
    </row>
    <row r="92" spans="1:19" ht="15.75" thickBot="1" x14ac:dyDescent="0.3">
      <c r="A92" s="88"/>
      <c r="B92" s="88"/>
      <c r="C92" s="88"/>
      <c r="D92" s="88"/>
      <c r="E92" s="88"/>
      <c r="G92" s="88"/>
      <c r="H92" s="88"/>
      <c r="I92" s="88"/>
      <c r="J92" s="88"/>
      <c r="K92" s="88"/>
      <c r="P92" s="88"/>
      <c r="Q92" s="88"/>
      <c r="R92" s="88"/>
      <c r="S92" s="88"/>
    </row>
    <row r="93" spans="1:19" ht="19.5" thickBot="1" x14ac:dyDescent="0.35">
      <c r="A93" s="88"/>
      <c r="B93" s="88"/>
      <c r="C93" s="88"/>
      <c r="D93" s="88"/>
      <c r="E93" s="88"/>
      <c r="G93" s="84" t="s">
        <v>22</v>
      </c>
      <c r="H93" s="85" t="s">
        <v>6</v>
      </c>
      <c r="I93" s="85" t="s">
        <v>5</v>
      </c>
      <c r="J93" s="89" t="s">
        <v>23</v>
      </c>
      <c r="K93" s="71" t="s">
        <v>115</v>
      </c>
      <c r="P93" s="88"/>
      <c r="Q93" s="88"/>
      <c r="R93" s="88"/>
      <c r="S93" s="88"/>
    </row>
    <row r="94" spans="1:19" ht="19.5" thickBot="1" x14ac:dyDescent="0.3">
      <c r="A94" s="88"/>
      <c r="B94" s="88"/>
      <c r="C94" s="88"/>
      <c r="D94" s="88"/>
      <c r="E94" s="88"/>
      <c r="G94" s="148" t="s">
        <v>136</v>
      </c>
      <c r="H94" s="143">
        <v>9.3865740740740732E-3</v>
      </c>
      <c r="I94" s="87">
        <v>6.3773148148148148E-3</v>
      </c>
      <c r="J94" s="141">
        <v>3.2291666666666666E-3</v>
      </c>
      <c r="K94" s="147">
        <v>1.3</v>
      </c>
      <c r="L94" s="27"/>
      <c r="P94" s="88"/>
      <c r="Q94" s="88"/>
      <c r="R94" s="88"/>
      <c r="S94" s="88"/>
    </row>
    <row r="95" spans="1:19" ht="19.5" thickBot="1" x14ac:dyDescent="0.3">
      <c r="A95" s="88"/>
      <c r="B95" s="88"/>
      <c r="C95" s="88"/>
      <c r="D95" s="88"/>
      <c r="E95" s="88"/>
      <c r="G95" s="149"/>
      <c r="H95" s="146"/>
      <c r="I95" s="87">
        <v>3.7037037037037038E-3</v>
      </c>
      <c r="J95" s="145"/>
      <c r="K95" s="147"/>
      <c r="P95" s="88"/>
      <c r="Q95" s="88"/>
      <c r="R95" s="88"/>
      <c r="S95" s="88"/>
    </row>
    <row r="96" spans="1:19" ht="19.5" thickBot="1" x14ac:dyDescent="0.3">
      <c r="A96" s="88"/>
      <c r="B96" s="88"/>
      <c r="C96" s="88"/>
      <c r="D96" s="88"/>
      <c r="E96" s="88"/>
      <c r="G96" s="149"/>
      <c r="H96" s="146"/>
      <c r="I96" s="87">
        <v>3.5879629629629629E-3</v>
      </c>
      <c r="J96" s="145"/>
      <c r="K96" s="147"/>
      <c r="P96" s="88"/>
      <c r="Q96" s="88"/>
      <c r="R96" s="88"/>
      <c r="S96" s="88"/>
    </row>
    <row r="97" spans="1:19" ht="19.5" thickBot="1" x14ac:dyDescent="0.3">
      <c r="A97" s="88"/>
      <c r="B97" s="88"/>
      <c r="C97" s="88"/>
      <c r="D97" s="88"/>
      <c r="E97" s="88"/>
      <c r="G97" s="150"/>
      <c r="H97" s="144"/>
      <c r="I97" s="87">
        <v>3.6111111111111109E-3</v>
      </c>
      <c r="J97" s="142"/>
      <c r="K97" s="147"/>
      <c r="P97" s="88"/>
      <c r="Q97" s="88"/>
      <c r="R97" s="88"/>
      <c r="S97" s="88"/>
    </row>
  </sheetData>
  <mergeCells count="139">
    <mergeCell ref="A50:A55"/>
    <mergeCell ref="B50:B55"/>
    <mergeCell ref="D50:D55"/>
    <mergeCell ref="G53:G56"/>
    <mergeCell ref="H53:H56"/>
    <mergeCell ref="J53:J56"/>
    <mergeCell ref="G49:G50"/>
    <mergeCell ref="H49:H50"/>
    <mergeCell ref="M1:P1"/>
    <mergeCell ref="A24:A27"/>
    <mergeCell ref="B24:B27"/>
    <mergeCell ref="D24:D27"/>
    <mergeCell ref="A30:A33"/>
    <mergeCell ref="B30:B33"/>
    <mergeCell ref="A1:D1"/>
    <mergeCell ref="G1:J1"/>
    <mergeCell ref="D30:D33"/>
    <mergeCell ref="G3:G4"/>
    <mergeCell ref="H3:H4"/>
    <mergeCell ref="J3:J4"/>
    <mergeCell ref="M3:M7"/>
    <mergeCell ref="G7:G8"/>
    <mergeCell ref="H7:H8"/>
    <mergeCell ref="I7:I8"/>
    <mergeCell ref="A3:A8"/>
    <mergeCell ref="B3:B8"/>
    <mergeCell ref="D3:D8"/>
    <mergeCell ref="A11:A16"/>
    <mergeCell ref="B11:B16"/>
    <mergeCell ref="D11:D16"/>
    <mergeCell ref="G15:G19"/>
    <mergeCell ref="H15:H19"/>
    <mergeCell ref="J15:J19"/>
    <mergeCell ref="E3:E8"/>
    <mergeCell ref="J7:J8"/>
    <mergeCell ref="E11:E16"/>
    <mergeCell ref="G11:G12"/>
    <mergeCell ref="H11:H12"/>
    <mergeCell ref="A36:A41"/>
    <mergeCell ref="B36:B41"/>
    <mergeCell ref="D36:D41"/>
    <mergeCell ref="A44:A47"/>
    <mergeCell ref="B44:B47"/>
    <mergeCell ref="D44:D47"/>
    <mergeCell ref="A19:A21"/>
    <mergeCell ref="B19:B21"/>
    <mergeCell ref="D19:D21"/>
    <mergeCell ref="E50:E55"/>
    <mergeCell ref="E44:E47"/>
    <mergeCell ref="E36:E41"/>
    <mergeCell ref="E30:E33"/>
    <mergeCell ref="E24:E27"/>
    <mergeCell ref="E19:E21"/>
    <mergeCell ref="G22:G23"/>
    <mergeCell ref="H22:H23"/>
    <mergeCell ref="G26:G27"/>
    <mergeCell ref="H26:H27"/>
    <mergeCell ref="G37:G39"/>
    <mergeCell ref="H37:H39"/>
    <mergeCell ref="G42:G46"/>
    <mergeCell ref="H42:H46"/>
    <mergeCell ref="G30:G34"/>
    <mergeCell ref="H30:H34"/>
    <mergeCell ref="K3:K4"/>
    <mergeCell ref="K7:K8"/>
    <mergeCell ref="K11:K12"/>
    <mergeCell ref="K15:K19"/>
    <mergeCell ref="K22:K23"/>
    <mergeCell ref="K26:K27"/>
    <mergeCell ref="K30:K34"/>
    <mergeCell ref="K37:K39"/>
    <mergeCell ref="K42:K46"/>
    <mergeCell ref="A76:A78"/>
    <mergeCell ref="B76:B78"/>
    <mergeCell ref="D76:D78"/>
    <mergeCell ref="G68:G72"/>
    <mergeCell ref="A71:A73"/>
    <mergeCell ref="B71:B73"/>
    <mergeCell ref="D71:D73"/>
    <mergeCell ref="G60:G61"/>
    <mergeCell ref="G64:G65"/>
    <mergeCell ref="A60:A64"/>
    <mergeCell ref="B60:B64"/>
    <mergeCell ref="D60:D64"/>
    <mergeCell ref="A67:A68"/>
    <mergeCell ref="B67:B68"/>
    <mergeCell ref="D67:D68"/>
    <mergeCell ref="E60:E64"/>
    <mergeCell ref="E67:E68"/>
    <mergeCell ref="E71:E73"/>
    <mergeCell ref="E76:E78"/>
    <mergeCell ref="A89:A91"/>
    <mergeCell ref="B89:B91"/>
    <mergeCell ref="D89:D91"/>
    <mergeCell ref="E89:E91"/>
    <mergeCell ref="G82:G84"/>
    <mergeCell ref="A85:A86"/>
    <mergeCell ref="B85:B86"/>
    <mergeCell ref="D85:D86"/>
    <mergeCell ref="E85:E86"/>
    <mergeCell ref="A81:A82"/>
    <mergeCell ref="B81:B82"/>
    <mergeCell ref="D81:D82"/>
    <mergeCell ref="E81:E82"/>
    <mergeCell ref="G94:G97"/>
    <mergeCell ref="H94:H97"/>
    <mergeCell ref="J94:J97"/>
    <mergeCell ref="J64:J65"/>
    <mergeCell ref="H64:H65"/>
    <mergeCell ref="J82:J84"/>
    <mergeCell ref="H82:H84"/>
    <mergeCell ref="J87:J91"/>
    <mergeCell ref="H87:H91"/>
    <mergeCell ref="G87:G91"/>
    <mergeCell ref="G75:G79"/>
    <mergeCell ref="J60:J61"/>
    <mergeCell ref="H60:H61"/>
    <mergeCell ref="J68:J72"/>
    <mergeCell ref="H68:H72"/>
    <mergeCell ref="J75:J79"/>
    <mergeCell ref="H75:H79"/>
    <mergeCell ref="K87:K91"/>
    <mergeCell ref="K94:K97"/>
    <mergeCell ref="M8:M10"/>
    <mergeCell ref="M11:M12"/>
    <mergeCell ref="K60:K61"/>
    <mergeCell ref="K64:K65"/>
    <mergeCell ref="K68:K72"/>
    <mergeCell ref="K75:K79"/>
    <mergeCell ref="K82:K84"/>
    <mergeCell ref="K53:K56"/>
    <mergeCell ref="K49:K50"/>
    <mergeCell ref="J49:J50"/>
    <mergeCell ref="J22:J23"/>
    <mergeCell ref="J11:J12"/>
    <mergeCell ref="J37:J39"/>
    <mergeCell ref="J42:J46"/>
    <mergeCell ref="J26:J27"/>
    <mergeCell ref="J30:J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Сборка</vt:lpstr>
      <vt:lpstr>Изменения норм</vt:lpstr>
      <vt:lpstr>Токарка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Гожко Николай Алексеевич</dc:creator>
  <cp:lastModifiedBy>Леонид Викторович Клименко</cp:lastModifiedBy>
  <dcterms:created xsi:type="dcterms:W3CDTF">2015-06-05T18:19:34Z</dcterms:created>
  <dcterms:modified xsi:type="dcterms:W3CDTF">2026-03-18T13:45:56Z</dcterms:modified>
</cp:coreProperties>
</file>
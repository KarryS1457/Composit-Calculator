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клименко лв\Desktop\Калькулятор точения\"/>
    </mc:Choice>
  </mc:AlternateContent>
  <xr:revisionPtr revIDLastSave="0" documentId="13_ncr:1_{F087FF4C-C0EF-4017-9161-891ECD1492AD}" xr6:coauthVersionLast="47" xr6:coauthVersionMax="47" xr10:uidLastSave="{00000000-0000-0000-0000-000000000000}"/>
  <bookViews>
    <workbookView xWindow="-120" yWindow="-120" windowWidth="29040" windowHeight="15840" tabRatio="717" xr2:uid="{3319175A-366A-4509-82E9-4F13C5AB1865}"/>
  </bookViews>
  <sheets>
    <sheet name="Калькулятор" sheetId="1" r:id="rId1"/>
    <sheet name="Типы станков" sheetId="4" r:id="rId2"/>
    <sheet name="Лист2" sheetId="5" r:id="rId3"/>
    <sheet name="Получение данных для расчета" sheetId="9" r:id="rId4"/>
    <sheet name="Лист3" sheetId="8" r:id="rId5"/>
    <sheet name="Параметры заготовки" sheetId="6" r:id="rId6"/>
    <sheet name="Параметры изделий" sheetId="3" r:id="rId7"/>
    <sheet name="Типы изделий" sheetId="2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9" l="1"/>
  <c r="A5" i="8"/>
  <c r="A20" i="8"/>
  <c r="A19" i="8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5" i="1"/>
  <c r="A5" i="1"/>
  <c r="A10" i="1"/>
  <c r="A12" i="1"/>
  <c r="A13" i="1"/>
  <c r="A14" i="1"/>
  <c r="A15" i="1"/>
  <c r="A16" i="1"/>
  <c r="A17" i="1"/>
  <c r="A18" i="1"/>
  <c r="A19" i="1"/>
  <c r="A20" i="1"/>
  <c r="A21" i="1"/>
  <c r="A22" i="1"/>
  <c r="A11" i="1"/>
  <c r="A6" i="1"/>
  <c r="A7" i="1"/>
  <c r="A8" i="1"/>
  <c r="A9" i="1"/>
  <c r="B3" i="9" l="1"/>
  <c r="B25" i="9"/>
  <c r="K74" i="9" s="1"/>
  <c r="B1" i="9"/>
  <c r="B4" i="9"/>
  <c r="B5" i="9"/>
  <c r="B27" i="9"/>
  <c r="B29" i="9"/>
  <c r="B7" i="9"/>
  <c r="B9" i="9"/>
  <c r="B13" i="9"/>
  <c r="E74" i="9" s="1"/>
  <c r="B15" i="9"/>
  <c r="F74" i="9" s="1"/>
  <c r="B17" i="9"/>
  <c r="G74" i="9" s="1"/>
  <c r="B19" i="9"/>
  <c r="H74" i="9" s="1"/>
  <c r="B21" i="9"/>
  <c r="I74" i="9" s="1"/>
  <c r="B23" i="9"/>
  <c r="J74" i="9" s="1"/>
  <c r="B10" i="9"/>
  <c r="B28" i="9"/>
  <c r="B11" i="9"/>
  <c r="B30" i="9"/>
  <c r="B12" i="9"/>
  <c r="B8" i="9"/>
  <c r="B6" i="9"/>
  <c r="B49" i="9"/>
  <c r="A2" i="8"/>
  <c r="A3" i="8"/>
  <c r="B2" i="9"/>
  <c r="A1" i="8"/>
  <c r="B55" i="9" l="1"/>
  <c r="B39" i="9"/>
  <c r="B40" i="9" s="1"/>
  <c r="B37" i="9"/>
  <c r="B38" i="9" s="1"/>
  <c r="D40" i="9"/>
  <c r="B31" i="9"/>
  <c r="B32" i="9" s="1"/>
  <c r="B54" i="9"/>
  <c r="B52" i="9"/>
  <c r="B35" i="9"/>
  <c r="B36" i="9" s="1"/>
  <c r="B33" i="9"/>
  <c r="B34" i="9" s="1"/>
  <c r="D74" i="9"/>
  <c r="B74" i="9"/>
  <c r="C74" i="9"/>
  <c r="B53" i="9"/>
  <c r="B51" i="9"/>
  <c r="B62" i="9" l="1"/>
  <c r="B68" i="9" s="1"/>
  <c r="B60" i="9"/>
  <c r="B66" i="9" s="1"/>
  <c r="B59" i="9"/>
  <c r="B65" i="9" s="1"/>
  <c r="B61" i="9"/>
  <c r="B67" i="9" s="1"/>
  <c r="B75" i="9"/>
  <c r="B69" i="9" s="1"/>
</calcChain>
</file>

<file path=xl/sharedStrings.xml><?xml version="1.0" encoding="utf-8"?>
<sst xmlns="http://schemas.openxmlformats.org/spreadsheetml/2006/main" count="176" uniqueCount="125">
  <si>
    <t>Тип изделия</t>
  </si>
  <si>
    <t>Кольцо приварное</t>
  </si>
  <si>
    <t>Фланец приварной</t>
  </si>
  <si>
    <t>Фланец компенсатора</t>
  </si>
  <si>
    <t>Фланец формующий</t>
  </si>
  <si>
    <t>Обечайка</t>
  </si>
  <si>
    <t>Внешний диметр</t>
  </si>
  <si>
    <t>Внутренний диаметр</t>
  </si>
  <si>
    <t>Столбец7</t>
  </si>
  <si>
    <t>Габарит детали</t>
  </si>
  <si>
    <t>Глубина проточки</t>
  </si>
  <si>
    <t>Диаметр проточки</t>
  </si>
  <si>
    <t>Размер фаски</t>
  </si>
  <si>
    <t>Фланец поворотный</t>
  </si>
  <si>
    <t>Круг</t>
  </si>
  <si>
    <t>Фланец переходной</t>
  </si>
  <si>
    <t>получаем данные</t>
  </si>
  <si>
    <t>Значения</t>
  </si>
  <si>
    <t>расчет</t>
  </si>
  <si>
    <t>Разница диаметров</t>
  </si>
  <si>
    <t>Количество проходов торцовки</t>
  </si>
  <si>
    <t>Внешний диаметр</t>
  </si>
  <si>
    <t>Толщина листа</t>
  </si>
  <si>
    <t>Параметры заготовки</t>
  </si>
  <si>
    <t>Параметры детали</t>
  </si>
  <si>
    <t>16К20</t>
  </si>
  <si>
    <t>Столбец5</t>
  </si>
  <si>
    <t>Столбец6</t>
  </si>
  <si>
    <t>1М63</t>
  </si>
  <si>
    <t>Режим</t>
  </si>
  <si>
    <t>Внутренний диаметр (d)</t>
  </si>
  <si>
    <t>Внешний диметр (D)</t>
  </si>
  <si>
    <t>Габарит детали (t)</t>
  </si>
  <si>
    <r>
      <t>Диаметр проточки (D</t>
    </r>
    <r>
      <rPr>
        <sz val="8"/>
        <color theme="1"/>
        <rFont val="Calibri"/>
        <family val="2"/>
        <charset val="204"/>
        <scheme val="minor"/>
      </rPr>
      <t>M</t>
    </r>
    <r>
      <rPr>
        <sz val="11"/>
        <color theme="1"/>
        <rFont val="Calibri"/>
        <family val="2"/>
        <charset val="204"/>
        <scheme val="minor"/>
      </rPr>
      <t>)</t>
    </r>
  </si>
  <si>
    <t>Глубина проточки (a)</t>
  </si>
  <si>
    <t>Размер фаски 1 (ch1)</t>
  </si>
  <si>
    <t>Размер фаски 2 (ch2)</t>
  </si>
  <si>
    <t>Размер фаски 3 (ch3)</t>
  </si>
  <si>
    <t>тип станка</t>
  </si>
  <si>
    <t>Внешний диаметр (D1)</t>
  </si>
  <si>
    <t>Внутренний диаметр (D2)</t>
  </si>
  <si>
    <t>Толщина листа (S)</t>
  </si>
  <si>
    <t xml:space="preserve">Длина </t>
  </si>
  <si>
    <t>Количество внешних проходов</t>
  </si>
  <si>
    <t>Количество торцевых проходов проходов</t>
  </si>
  <si>
    <t>1М65</t>
  </si>
  <si>
    <t>определяем позицию в списке</t>
  </si>
  <si>
    <t>Получаем значение</t>
  </si>
  <si>
    <t>Тип станка</t>
  </si>
  <si>
    <t>Максимальный диаметр</t>
  </si>
  <si>
    <t>Сравнение с таблицей и получение модели станка</t>
  </si>
  <si>
    <t>Глубина внешнего точения (D1-D)</t>
  </si>
  <si>
    <t>Глубина торцовки (S-t)</t>
  </si>
  <si>
    <t>Длина торцовки (D1-D2)</t>
  </si>
  <si>
    <t>Глубина внутреннего точения (d-D2)</t>
  </si>
  <si>
    <t>Длина внутренней проточки (Dm-d)</t>
  </si>
  <si>
    <t>Глубина внутренней проточки (a)</t>
  </si>
  <si>
    <t>Угол фаски (ch1)</t>
  </si>
  <si>
    <t>Угол фаски (ch2)</t>
  </si>
  <si>
    <t>Угол фаски (ch3)</t>
  </si>
  <si>
    <t>Расчет длинны фасок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</si>
  <si>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</si>
  <si>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</si>
  <si>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</si>
  <si>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</si>
  <si>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</si>
  <si>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</si>
  <si>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</si>
  <si>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</si>
  <si>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</si>
  <si>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</si>
  <si>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Фланец приварной ТНФ</t>
  </si>
  <si>
    <t>Диаметр 2-ой проточки (Dw)</t>
  </si>
  <si>
    <t>Глубина 2-ой проточки (b)</t>
  </si>
  <si>
    <t>Длина 2-ой внутренней проточки (Dw-d)</t>
  </si>
  <si>
    <t>Глубина 2-ой внутренней проточки (t-b)</t>
  </si>
  <si>
    <t>Сием продольное точение</t>
  </si>
  <si>
    <t>Сием поперечное точение</t>
  </si>
  <si>
    <t xml:space="preserve">Подача продольная </t>
  </si>
  <si>
    <t>Подача поперечная</t>
  </si>
  <si>
    <t>Длина внешнего точения (S)</t>
  </si>
  <si>
    <t>Общий путь наружнего точения</t>
  </si>
  <si>
    <t>Количество проходов внутреннего точения</t>
  </si>
  <si>
    <t>Сием продольное внутр. Точение</t>
  </si>
  <si>
    <t>Подача продольная внутр. Точение</t>
  </si>
  <si>
    <t>Общий путь внутреннего точения</t>
  </si>
  <si>
    <t>Длина внутреннего точения (t)</t>
  </si>
  <si>
    <t>Количество проходов внутренней проточки</t>
  </si>
  <si>
    <t>Количество проходов 2-ой внутренней  проточки</t>
  </si>
  <si>
    <t>Общий путь внутренней проточки</t>
  </si>
  <si>
    <t>Общая длина фасок</t>
  </si>
  <si>
    <t>Размер фаски 4 (ch4)</t>
  </si>
  <si>
    <t>Угол фаски (ch4)</t>
  </si>
  <si>
    <t>Размер фаски 5 (ch5)</t>
  </si>
  <si>
    <t>Угол фаски (ch5)</t>
  </si>
  <si>
    <t>Размер фаски 6 (ch6)</t>
  </si>
  <si>
    <t>Угол фаски (ch6)</t>
  </si>
  <si>
    <t>Размер фаски 7 (ch7)</t>
  </si>
  <si>
    <t>Угол фаски (ch7)</t>
  </si>
  <si>
    <t>Размер фаски 8 (ch8)</t>
  </si>
  <si>
    <t>Угол фаски (ch8)</t>
  </si>
  <si>
    <t>Размер фаски 9 (ch9)</t>
  </si>
  <si>
    <t>Угол фаски (ch9)</t>
  </si>
  <si>
    <t>Размер фаски 10 (ch10)</t>
  </si>
  <si>
    <t>Угол фаски (ch10)</t>
  </si>
  <si>
    <t>Обороты шпинделя</t>
  </si>
  <si>
    <t>Количество витков при торцовке</t>
  </si>
  <si>
    <t>Количество витков при 1-ой проточке</t>
  </si>
  <si>
    <t>Путь 1-го прохода торцовки</t>
  </si>
  <si>
    <t>Путь 1-го прохода при 1-ой проточке</t>
  </si>
  <si>
    <t>Количество витков при 2-ой проточке</t>
  </si>
  <si>
    <t>Путь 1-го прохода при 2-ой проточке</t>
  </si>
  <si>
    <t>Количество шагов внешн. Диаметр</t>
  </si>
  <si>
    <t>Путь 1-го прохода внеш. Точения</t>
  </si>
  <si>
    <t>Количество шагов внутр. Диаметр</t>
  </si>
  <si>
    <t>Путь 1-го прохода внутр. Точения</t>
  </si>
  <si>
    <t>Скорость резания продольная мм/мин</t>
  </si>
  <si>
    <t>Скорость резания поперечная мм/мин</t>
  </si>
  <si>
    <t>Скорость резания фасок мм/мин</t>
  </si>
  <si>
    <t>время нар. Точения</t>
  </si>
  <si>
    <t>время внутр. Точения</t>
  </si>
  <si>
    <t>время внутр. Растачивания</t>
  </si>
  <si>
    <t>Общий путь торцовки</t>
  </si>
  <si>
    <t>Время торцовки</t>
  </si>
  <si>
    <t>Время точения фасок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</si>
</sst>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Alignment="1">
      <alignment horizontal="right"/>
    </xf>
    <xf numFmtId="0" fontId="2" fillId="5" borderId="3" xfId="2" applyBorder="1"/>
    <xf numFmtId="0" fontId="2" fillId="4" borderId="3" xfId="1" applyBorder="1"/>
    <xf numFmtId="0" fontId="2" fillId="6" borderId="3" xfId="1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8" borderId="0" xfId="0" applyFill="1"/>
    <xf numFmtId="0" fontId="0" fillId="10" borderId="3" xfId="0" applyFill="1" applyBorder="1"/>
    <xf numFmtId="49" fontId="0" fillId="0" borderId="0" xfId="0" applyNumberFormat="1"/>
    <xf numFmtId="0" fontId="0" fillId="0" borderId="0" xfId="0" applyAlignment="1">
      <alignment horizontal="center"/>
    </xf>
    <xf numFmtId="0" fontId="2" fillId="5" borderId="4" xfId="2" applyBorder="1" applyAlignment="1">
      <alignment horizontal="center" vertical="center"/>
    </xf>
    <xf numFmtId="0" fontId="2" fillId="5" borderId="5" xfId="2" applyBorder="1" applyAlignment="1">
      <alignment horizontal="center" vertical="center"/>
    </xf>
  </cellXfs>
  <cellStyles count="3">
    <cellStyle name="20% — акцент1" xfId="1" builtinId="30"/>
    <cellStyle name="40% — акцент4" xfId="2" builtinId="43"/>
    <cellStyle name="Обычный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12701</xdr:colOff>
      <xdr:row>1</xdr:row>
      <xdr:rowOff>12700</xdr:rowOff>
    </xdr:from>
    <xdr:to>
      <xdr:col>0</xdr:col>
      <xdr:colOff>2371860</xdr:colOff>
      <xdr:row>1</xdr:row>
      <xdr:rowOff>3327400</xdr:rowOff>
    </xdr:to>
    <xdr:pic>
      <xdr:nvPicPr>
        <xdr:cNvPr id="7" name="_A2_autopaste">
          <a:extLst>
            <a:ext uri="{FF2B5EF4-FFF2-40B4-BE49-F238E27FC236}">
              <a16:creationId xmlns:a16="http://schemas.microsoft.com/office/drawing/2014/main" id="{D6FF2F4D-57D8-2F2E-0593-EE92B0B6B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1" y="50800"/>
          <a:ext cx="2359159" cy="3314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1158240</xdr:colOff>
      <xdr:row>13</xdr:row>
      <xdr:rowOff>148590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32A4C3-FBB6-C975-BB23-FE2073A0DE3A}"/>
            </a:ext>
          </a:extLst>
        </xdr:cNvPr>
        <xdr:cNvSpPr txBox="1"/>
      </xdr:nvSpPr>
      <xdr:spPr>
        <a:xfrm>
          <a:off x="6629400" y="2160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13F3A-C6C6-45CE-97CE-77E3E2BA1D0C}" name="Таблица5" displayName="Таблица5" ref="A1:G12" totalsRowShown="0">
  <autoFilter ref="A1:G12" xr:uid="{23C13F3A-C6C6-45CE-97CE-77E3E2BA1D0C}"/>
  <tableColumns count="7">
    <tableColumn id="1" xr3:uid="{56E22B14-F70D-4686-AD88-FEC2FE88CFD9}" name="Режим"/>
    <tableColumn id="2" xr3:uid="{46066924-29EF-45B9-A5A6-0386005EDB39}" name="16К20"/>
    <tableColumn id="3" xr3:uid="{F94C776F-A069-4091-AA37-0ED3A15F0AD0}" name="1М63"/>
    <tableColumn id="4" xr3:uid="{2F121EAF-33A2-4B27-95AF-A7BAB05DF206}" name="1М65"/>
    <tableColumn id="5" xr3:uid="{F94A387B-4865-4BAA-858F-6D1AFE568297}" name="Столбец5"/>
    <tableColumn id="6" xr3:uid="{D812808C-6321-4C05-AB3B-2D75AFFD2340}" name="Столбец6"/>
    <tableColumn id="7" xr3:uid="{5DA702E1-BBD5-47B7-8752-904267214453}" name="Столбец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9B175E-E353-472D-97B5-E65DB7FDBFDC}" name="Таблица3" displayName="Таблица3" ref="A1:C9" totalsRowShown="0">
  <autoFilter ref="A1:C9" xr:uid="{A09B175E-E353-472D-97B5-E65DB7FDBFDC}"/>
  <tableColumns count="3">
    <tableColumn id="1" xr3:uid="{470360F8-450C-40BB-8917-8543D60D153F}" name="получаем данные" dataDxfId="0"/>
    <tableColumn id="2" xr3:uid="{0EB1AE95-440C-4007-9064-BC3039AF6F42}" name="Значения"/>
    <tableColumn id="3" xr3:uid="{9E6ADEEC-0EBF-4C34-B7C7-E761E181F3CF}" name="расчет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68053D-9E3E-4F61-B951-9702171ABDD9}" name="Таблица4" displayName="Таблица4" ref="A1:C4" totalsRowShown="0">
  <autoFilter ref="A1:C4" xr:uid="{B868053D-9E3E-4F61-B951-9702171ABDD9}"/>
  <tableColumns count="3">
    <tableColumn id="1" xr3:uid="{2D6771EB-26B6-403F-A605-8F2B40A17F73}" name="Фланец поворотный"/>
    <tableColumn id="2" xr3:uid="{8D925E49-15EE-43CA-BB17-02C5365453F9}" name="Фланец приварной ТНФ"/>
    <tableColumn id="3" xr3:uid="{8F99042C-E97E-46AF-A73B-F445870E9B7A}" name="Фланец приварно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9166EA-A7F8-40E5-9E1D-1CA44DE78BA4}" name="Таблица2" displayName="Таблица2" ref="A1:I14" totalsRowShown="0">
  <autoFilter ref="A1:I14" xr:uid="{709166EA-A7F8-40E5-9E1D-1CA44DE78BA4}"/>
  <tableColumns count="9">
    <tableColumn id="1" xr3:uid="{FF81718E-180A-462C-A860-7C7F9152C49B}" name="Фланец приварной ТНФ"/>
    <tableColumn id="2" xr3:uid="{C62AB877-EBD8-4379-BE5A-84DF5277D498}" name="Кольцо приварное"/>
    <tableColumn id="9" xr3:uid="{2A0299A2-42F7-4CA6-9BC6-E682D0391187}" name="Фланец приварной"/>
    <tableColumn id="3" xr3:uid="{6B7FF030-B329-4EA7-8AFD-E2B8A6B9F892}" name="Фланец поворотный"/>
    <tableColumn id="4" xr3:uid="{16C4E3F0-9712-4E87-830F-3BC96CE93612}" name="Фланец компенсатора"/>
    <tableColumn id="5" xr3:uid="{059E0DCA-F0C9-40A8-B7FD-6A11BB4EDCBF}" name="Фланец формующий"/>
    <tableColumn id="6" xr3:uid="{D0AC55F8-9E3B-4D8B-8E9B-531482046AEB}" name="Обечайка"/>
    <tableColumn id="7" xr3:uid="{16240362-3963-4DFA-B0CF-2E5686361573}" name="Круг"/>
    <tableColumn id="8" xr3:uid="{A58C3DFF-85C5-411D-9310-12E7CE1500B1}" name="Фланец переходно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5E670-F587-492A-B3B2-C9A881145F5B}" name="Таблица1" displayName="Таблица1" ref="A1:A10" totalsRowShown="0">
  <autoFilter ref="A1:A10" xr:uid="{1285E670-F587-492A-B3B2-C9A881145F5B}"/>
  <sortState xmlns:xlrd2="http://schemas.microsoft.com/office/spreadsheetml/2017/richdata2" ref="A2:A10">
    <sortCondition ref="A2:A10"/>
  </sortState>
  <tableColumns count="1">
    <tableColumn id="1" xr3:uid="{60654018-A894-46B6-9EDD-A5ED8BC108D8}" name="Тип издел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A6C7-5793-4744-A0F6-19DA2BB6D997}">
  <sheetPr codeName="Лист1"/>
  <dimension ref="A1:E22"/>
  <sheetViews>
    <sheetView tabSelected="1" zoomScaleNormal="100" workbookViewId="0">
      <selection activeCell="B3" sqref="B3:C3"/>
    </sheetView>
  </sheetViews>
  <sheetFormatPr defaultRowHeight="15" x14ac:dyDescent="0.25"/>
  <cols>
    <col min="1" max="1" width="38.28515625" customWidth="1"/>
    <col min="2" max="2" width="16.7109375" customWidth="1"/>
    <col min="3" max="3" width="9.42578125" customWidth="1"/>
    <col min="4" max="4" width="26.42578125" customWidth="1"/>
  </cols>
  <sheetData>
    <row r="1" spans="1:5" ht="3" customHeight="1" x14ac:dyDescent="0.25">
      <c r="A1" t="s">
        <v>0</v>
      </c>
    </row>
    <row r="2" spans="1:5" ht="266.25" customHeight="1" x14ac:dyDescent="0.25"/>
    <row r="3" spans="1:5" x14ac:dyDescent="0.25">
      <c r="A3" t="s">
        <v>0</v>
      </c>
      <c r="B3" s="17" t="s">
        <v>13</v>
      </c>
      <c r="C3" s="17"/>
    </row>
    <row r="4" spans="1:5" s="3" customFormat="1" x14ac:dyDescent="0.25">
      <c r="A4" s="3" t="s">
        <v>24</v>
      </c>
      <c r="D4" s="3" t="s">
        <v>23</v>
      </c>
    </row>
    <row r="5" spans="1:5" x14ac:dyDescent="0.25">
      <c r="A5" s="6" t="str">
        <f>INDEX(Таблица2[],ROW()-4,MATCH($B$3,'Параметры изделий'!$1:$1,0))</f>
        <v>Внешний диметр</v>
      </c>
      <c r="B5" s="4">
        <v>260</v>
      </c>
      <c r="D5" s="6" t="str">
        <f>INDEX(Таблица4[],ROW()-4,MATCH($B$3,'Параметры заготовки'!$1:$1,0))</f>
        <v>Внешний диаметр</v>
      </c>
      <c r="E5">
        <v>315</v>
      </c>
    </row>
    <row r="6" spans="1:5" x14ac:dyDescent="0.25">
      <c r="A6" s="6">
        <f>INDEX(Таблица2[],ROW()-4,MATCH($B$3,'Параметры изделий'!$1:$1,0))</f>
        <v>0</v>
      </c>
      <c r="B6" s="4">
        <v>200</v>
      </c>
      <c r="D6" s="6" t="str">
        <f>INDEX(Таблица4[],ROW()-4,MATCH($B$3,'Параметры заготовки'!$1:$1,0))</f>
        <v>Внутренний диаметр</v>
      </c>
      <c r="E6">
        <v>150</v>
      </c>
    </row>
    <row r="7" spans="1:5" x14ac:dyDescent="0.25">
      <c r="A7" s="6">
        <f>INDEX(Таблица2[],ROW()-4,MATCH($B$3,'Параметры изделий'!$1:$1,0))</f>
        <v>0</v>
      </c>
      <c r="B7" s="4">
        <v>50</v>
      </c>
      <c r="D7" s="6" t="str">
        <f>INDEX(Таблица4[],ROW()-4,MATCH($B$3,'Параметры заготовки'!$1:$1,0))</f>
        <v>Толщина листа</v>
      </c>
      <c r="E7">
        <v>70</v>
      </c>
    </row>
    <row r="8" spans="1:5" x14ac:dyDescent="0.25">
      <c r="A8" s="6">
        <f>INDEX(Таблица2[],ROW()-4,MATCH($B$3,'Параметры изделий'!$1:$1,0))</f>
        <v>0</v>
      </c>
      <c r="B8" s="4">
        <v>220</v>
      </c>
      <c r="D8" s="6" t="e">
        <f>INDEX(Таблица4[],ROW()-4,MATCH($B$3,'Параметры заготовки'!$1:$1,0))</f>
        <v>#REF!</v>
      </c>
    </row>
    <row r="9" spans="1:5" x14ac:dyDescent="0.25">
      <c r="A9" s="6">
        <f>INDEX(Таблица2[],ROW()-4,MATCH($B$3,'Параметры изделий'!$1:$1,0))</f>
        <v>0</v>
      </c>
      <c r="B9" s="4">
        <v>10</v>
      </c>
      <c r="D9" s="6" t="e">
        <f>INDEX(Таблица4[],ROW()-4,MATCH($B$3,'Параметры заготовки'!$1:$1,0))</f>
        <v>#REF!</v>
      </c>
    </row>
    <row r="10" spans="1:5" x14ac:dyDescent="0.25">
      <c r="A10" s="6">
        <f>INDEX(Таблица2[],ROW()-4,MATCH($B$3,'Параметры изделий'!$1:$1,0))</f>
        <v>0</v>
      </c>
      <c r="B10" s="4">
        <v>230</v>
      </c>
      <c r="D10" s="6" t="e">
        <f>INDEX(Таблица4[],ROW()-4,MATCH($B$3,'Параметры заготовки'!$1:$1,0))</f>
        <v>#REF!</v>
      </c>
    </row>
    <row r="11" spans="1:5" x14ac:dyDescent="0.25">
      <c r="A11" s="6">
        <f>INDEX(Таблица2[],ROW()-4,MATCH($B$3,'Параметры изделий'!$1:$1,0))</f>
        <v>0</v>
      </c>
      <c r="B11" s="4">
        <v>45</v>
      </c>
      <c r="D11" s="6" t="e">
        <f>INDEX(Таблица4[],ROW()-4,MATCH($B$3,'Параметры заготовки'!$1:$1,0))</f>
        <v>#REF!</v>
      </c>
    </row>
    <row r="12" spans="1:5" x14ac:dyDescent="0.25">
      <c r="A12" s="6">
        <f>INDEX(Таблица2[],ROW()-4,MATCH($B$3,'Параметры изделий'!$1:$1,0))</f>
        <v>0</v>
      </c>
      <c r="B12" s="4">
        <v>2</v>
      </c>
      <c r="D12" s="6" t="e">
        <f>INDEX(Таблица4[],ROW()-4,MATCH($B$3,'Параметры заготовки'!$1:$1,0))</f>
        <v>#REF!</v>
      </c>
    </row>
    <row r="13" spans="1:5" x14ac:dyDescent="0.25">
      <c r="A13" s="6">
        <f>INDEX(Таблица2[],ROW()-4,MATCH($B$3,'Параметры изделий'!$1:$1,0))</f>
        <v>0</v>
      </c>
      <c r="B13" s="4">
        <v>45</v>
      </c>
      <c r="D13" s="6" t="e">
        <f>INDEX(Таблица4[],ROW()-4,MATCH($B$3,'Параметры заготовки'!$1:$1,0))</f>
        <v>#REF!</v>
      </c>
    </row>
    <row r="14" spans="1:5" x14ac:dyDescent="0.25">
      <c r="A14" s="6">
        <f>INDEX(Таблица2[],ROW()-4,MATCH($B$3,'Параметры изделий'!$1:$1,0))</f>
        <v>0</v>
      </c>
      <c r="B14" s="4">
        <v>5</v>
      </c>
      <c r="D14" s="6" t="e">
        <f>INDEX(Таблица4[],ROW()-4,MATCH($B$3,'Параметры заготовки'!$1:$1,0))</f>
        <v>#REF!</v>
      </c>
    </row>
    <row r="15" spans="1:5" x14ac:dyDescent="0.25">
      <c r="A15" s="6">
        <f>INDEX(Таблица2[],ROW()-4,MATCH($B$3,'Параметры изделий'!$1:$1,0))</f>
        <v>0</v>
      </c>
      <c r="B15" s="4">
        <v>30</v>
      </c>
      <c r="D15" s="6" t="e">
        <f>INDEX(Таблица4[],ROW()-4,MATCH($B$3,'Параметры заготовки'!$1:$1,0))</f>
        <v>#REF!</v>
      </c>
    </row>
    <row r="16" spans="1:5" x14ac:dyDescent="0.25">
      <c r="A16" s="6">
        <f>INDEX(Таблица2[],ROW()-4,MATCH($B$3,'Параметры изделий'!$1:$1,0))</f>
        <v>0</v>
      </c>
      <c r="B16" s="4"/>
      <c r="D16" s="6" t="e">
        <f>INDEX(Таблица4[],ROW()-4,MATCH($B$3,'Параметры заготовки'!$1:$1,0))</f>
        <v>#REF!</v>
      </c>
    </row>
    <row r="17" spans="1:4" x14ac:dyDescent="0.25">
      <c r="A17" s="6">
        <f>INDEX(Таблица2[],ROW()-4,MATCH($B$3,'Параметры изделий'!$1:$1,0))</f>
        <v>0</v>
      </c>
      <c r="B17" s="4"/>
      <c r="D17" s="6" t="e">
        <f>INDEX(Таблица4[],ROW()-4,MATCH($B$3,'Параметры заготовки'!$1:$1,0))</f>
        <v>#REF!</v>
      </c>
    </row>
    <row r="18" spans="1:4" x14ac:dyDescent="0.25">
      <c r="A18" s="6" t="e">
        <f>INDEX(Таблица2[],ROW()-4,MATCH($B$3,'Параметры изделий'!$1:$1,0))</f>
        <v>#REF!</v>
      </c>
      <c r="B18" s="4"/>
      <c r="D18" s="6" t="e">
        <f>INDEX(Таблица4[],ROW()-4,MATCH($B$3,'Параметры заготовки'!$1:$1,0))</f>
        <v>#REF!</v>
      </c>
    </row>
    <row r="19" spans="1:4" x14ac:dyDescent="0.25">
      <c r="A19" s="6" t="e">
        <f>INDEX(Таблица2[],ROW()-4,MATCH($B$3,'Параметры изделий'!$1:$1,0))</f>
        <v>#REF!</v>
      </c>
      <c r="B19" s="4"/>
      <c r="D19" s="6" t="e">
        <f>INDEX(Таблица4[],ROW()-4,MATCH($B$3,'Параметры заготовки'!$1:$1,0))</f>
        <v>#REF!</v>
      </c>
    </row>
    <row r="20" spans="1:4" x14ac:dyDescent="0.25">
      <c r="A20" s="6" t="e">
        <f>INDEX(Таблица2[],ROW()-4,MATCH($B$3,'Параметры изделий'!$1:$1,0))</f>
        <v>#REF!</v>
      </c>
      <c r="B20" s="4"/>
      <c r="D20" s="6" t="e">
        <f>INDEX(Таблица4[],ROW()-4,MATCH($B$3,'Параметры заготовки'!$1:$1,0))</f>
        <v>#REF!</v>
      </c>
    </row>
    <row r="21" spans="1:4" x14ac:dyDescent="0.25">
      <c r="A21" s="6" t="e">
        <f>INDEX(Таблица2[],ROW()-4,MATCH($B$3,'Параметры изделий'!$1:$1,0))</f>
        <v>#REF!</v>
      </c>
      <c r="B21" s="4"/>
      <c r="D21" s="6" t="e">
        <f>INDEX(Таблица4[],ROW()-4,MATCH($B$3,'Параметры заготовки'!$1:$1,0))</f>
        <v>#REF!</v>
      </c>
    </row>
    <row r="22" spans="1:4" x14ac:dyDescent="0.25">
      <c r="A22" s="6" t="e">
        <f>INDEX(Таблица2[],ROW()-4,MATCH($B$3,'Параметры изделий'!$1:$1,0))</f>
        <v>#REF!</v>
      </c>
      <c r="B22" s="4"/>
      <c r="D22" s="6" t="e">
        <f>INDEX(Таблица4[],ROW()-4,MATCH($B$3,'Параметры заготовки'!$1:$1,0))</f>
        <v>#REF!</v>
      </c>
    </row>
  </sheetData>
  <mergeCells count="1">
    <mergeCell ref="B3:C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7FF7B3-67F9-465C-80AC-3138A6CB5503}">
          <x14:formula1>
            <xm:f>'Типы изделий'!$A$2:$A$24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711C-39C9-4EE1-9B55-2BA7F37F7028}">
  <sheetPr codeName="Лист3"/>
  <dimension ref="A1:G12"/>
  <sheetViews>
    <sheetView workbookViewId="0">
      <selection activeCell="A11" sqref="A11"/>
    </sheetView>
  </sheetViews>
  <sheetFormatPr defaultRowHeight="15" x14ac:dyDescent="0.25"/>
  <cols>
    <col min="1" max="1" width="37.5703125" customWidth="1"/>
    <col min="2" max="2" width="22.28515625" customWidth="1"/>
    <col min="3" max="7" width="11.140625" customWidth="1"/>
  </cols>
  <sheetData>
    <row r="1" spans="1:7" x14ac:dyDescent="0.25">
      <c r="A1" t="s">
        <v>29</v>
      </c>
      <c r="B1" t="s">
        <v>25</v>
      </c>
      <c r="C1" t="s">
        <v>28</v>
      </c>
      <c r="D1" t="s">
        <v>45</v>
      </c>
      <c r="E1" t="s">
        <v>26</v>
      </c>
      <c r="F1" t="s">
        <v>27</v>
      </c>
      <c r="G1" t="s">
        <v>8</v>
      </c>
    </row>
    <row r="2" spans="1:7" x14ac:dyDescent="0.25">
      <c r="A2" t="s">
        <v>77</v>
      </c>
      <c r="B2">
        <v>3</v>
      </c>
      <c r="C2">
        <v>4</v>
      </c>
      <c r="D2">
        <v>7</v>
      </c>
    </row>
    <row r="3" spans="1:7" x14ac:dyDescent="0.25">
      <c r="A3" t="s">
        <v>76</v>
      </c>
      <c r="B3">
        <v>2</v>
      </c>
      <c r="C3">
        <v>5</v>
      </c>
      <c r="D3">
        <v>6</v>
      </c>
    </row>
    <row r="4" spans="1:7" x14ac:dyDescent="0.25">
      <c r="A4" t="s">
        <v>83</v>
      </c>
      <c r="B4">
        <v>2</v>
      </c>
      <c r="C4">
        <v>5</v>
      </c>
      <c r="D4">
        <v>6</v>
      </c>
    </row>
    <row r="5" spans="1:7" x14ac:dyDescent="0.25">
      <c r="A5" t="s">
        <v>79</v>
      </c>
      <c r="B5">
        <v>10</v>
      </c>
      <c r="C5">
        <v>11</v>
      </c>
      <c r="D5">
        <v>12</v>
      </c>
    </row>
    <row r="6" spans="1:7" x14ac:dyDescent="0.25">
      <c r="A6" t="s">
        <v>78</v>
      </c>
      <c r="B6">
        <v>0.5</v>
      </c>
      <c r="C6">
        <v>0.65</v>
      </c>
      <c r="D6">
        <v>2</v>
      </c>
    </row>
    <row r="7" spans="1:7" x14ac:dyDescent="0.25">
      <c r="A7" t="s">
        <v>84</v>
      </c>
      <c r="B7">
        <v>0.5</v>
      </c>
      <c r="C7">
        <v>1</v>
      </c>
      <c r="D7">
        <v>2</v>
      </c>
    </row>
    <row r="8" spans="1:7" x14ac:dyDescent="0.25">
      <c r="A8" t="s">
        <v>49</v>
      </c>
      <c r="B8">
        <v>250</v>
      </c>
      <c r="C8">
        <v>610</v>
      </c>
      <c r="D8">
        <v>800</v>
      </c>
    </row>
    <row r="9" spans="1:7" x14ac:dyDescent="0.25">
      <c r="A9" t="s">
        <v>116</v>
      </c>
      <c r="B9">
        <v>15000</v>
      </c>
      <c r="C9">
        <v>15000</v>
      </c>
      <c r="D9">
        <v>15000</v>
      </c>
      <c r="E9">
        <v>15000</v>
      </c>
      <c r="F9">
        <v>15000</v>
      </c>
      <c r="G9">
        <v>15000</v>
      </c>
    </row>
    <row r="10" spans="1:7" x14ac:dyDescent="0.25">
      <c r="A10" t="s">
        <v>117</v>
      </c>
      <c r="B10">
        <v>15000</v>
      </c>
      <c r="C10">
        <v>15000</v>
      </c>
      <c r="D10">
        <v>15000</v>
      </c>
      <c r="E10">
        <v>15000</v>
      </c>
      <c r="F10">
        <v>15000</v>
      </c>
      <c r="G10">
        <v>15000</v>
      </c>
    </row>
    <row r="11" spans="1:7" x14ac:dyDescent="0.25">
      <c r="A11" t="s">
        <v>118</v>
      </c>
      <c r="B11">
        <v>15000</v>
      </c>
      <c r="C11">
        <v>15000</v>
      </c>
      <c r="D11">
        <v>15000</v>
      </c>
      <c r="E11">
        <v>15000</v>
      </c>
      <c r="F11">
        <v>15000</v>
      </c>
      <c r="G11">
        <v>15000</v>
      </c>
    </row>
    <row r="12" spans="1:7" x14ac:dyDescent="0.25">
      <c r="A12" t="s">
        <v>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BD69-6A0C-483F-A998-076968D4370D}">
  <sheetPr codeName="Лист4"/>
  <dimension ref="A1:C9"/>
  <sheetViews>
    <sheetView workbookViewId="0">
      <selection activeCell="A9" sqref="A9"/>
    </sheetView>
  </sheetViews>
  <sheetFormatPr defaultRowHeight="15" x14ac:dyDescent="0.25"/>
  <cols>
    <col min="1" max="1" width="34.7109375" customWidth="1"/>
    <col min="2" max="2" width="25.5703125" customWidth="1"/>
    <col min="3" max="3" width="13.8554687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s="1" t="s">
        <v>19</v>
      </c>
    </row>
    <row r="3" spans="1:3" x14ac:dyDescent="0.25">
      <c r="A3" s="2" t="s">
        <v>20</v>
      </c>
    </row>
    <row r="4" spans="1:3" x14ac:dyDescent="0.25">
      <c r="A4" s="1" t="s">
        <v>9</v>
      </c>
    </row>
    <row r="5" spans="1:3" x14ac:dyDescent="0.25">
      <c r="A5" s="2" t="s">
        <v>11</v>
      </c>
    </row>
    <row r="6" spans="1:3" x14ac:dyDescent="0.25">
      <c r="A6" s="1" t="s">
        <v>10</v>
      </c>
    </row>
    <row r="7" spans="1:3" x14ac:dyDescent="0.25">
      <c r="A7" s="2" t="s">
        <v>12</v>
      </c>
    </row>
    <row r="8" spans="1:3" x14ac:dyDescent="0.25">
      <c r="A8" s="5" t="s">
        <v>38</v>
      </c>
    </row>
    <row r="9" spans="1:3" x14ac:dyDescent="0.25">
      <c r="A9" s="5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A814-A8BD-4F9D-B08A-B203FCE1FC8C}">
  <sheetPr codeName="Лист5"/>
  <dimension ref="A1:K75"/>
  <sheetViews>
    <sheetView topLeftCell="A46" workbookViewId="0">
      <selection activeCell="B70" sqref="B70"/>
    </sheetView>
  </sheetViews>
  <sheetFormatPr defaultRowHeight="15" x14ac:dyDescent="0.25"/>
  <cols>
    <col min="1" max="1" width="47.140625" customWidth="1"/>
    <col min="2" max="2" width="15.85546875" customWidth="1"/>
    <col min="3" max="3" width="22.28515625" customWidth="1"/>
  </cols>
  <sheetData>
    <row r="1" spans="1:3" x14ac:dyDescent="0.25">
      <c r="A1" s="8" t="s">
        <v>51</v>
      </c>
      <c r="B1" s="8" t="e">
        <f>INDEX(Калькулятор!E5:E22,MATCH("Внешний диаметр (D1)",Калькулятор!D5:D22,0),1)-INDEX(Калькулятор!B5:B22,MATCH("Внешний диметр (D)",Калькулятор!A5:A22,0),1)</f>
        <v>#N/A</v>
      </c>
      <c r="C1" s="8" t="s">
        <v>71</v>
      </c>
    </row>
    <row r="2" spans="1:3" x14ac:dyDescent="0.25">
      <c r="A2" s="8" t="s">
        <v>52</v>
      </c>
      <c r="B2" s="8" t="e">
        <f>INDEX(Калькулятор!E5:E22,MATCH("Толщина листа (S)",Калькулятор!D5:D22,0),1)-INDEX(Калькулятор!B5:B22,MATCH("Габарит детали (t)",Калькулятор!A5:A22,0),1)</f>
        <v>#N/A</v>
      </c>
      <c r="C2" s="8" t="s">
        <v>71</v>
      </c>
    </row>
    <row r="3" spans="1:3" x14ac:dyDescent="0.25">
      <c r="A3" s="8" t="s">
        <v>53</v>
      </c>
      <c r="B3" s="8" t="e">
        <f>INDEX(Калькулятор!E5:E22,MATCH("Внешний диаметр (D1)",Калькулятор!D5:D22,0),1)-INDEX(Калькулятор!E5:E22,MATCH("Внутренний диаметр (D2)",Калькулятор!D5:D22,0),1)</f>
        <v>#N/A</v>
      </c>
      <c r="C3" s="8" t="s">
        <v>71</v>
      </c>
    </row>
    <row r="4" spans="1:3" x14ac:dyDescent="0.25">
      <c r="A4" s="8" t="s">
        <v>54</v>
      </c>
      <c r="B4" s="8" t="e">
        <f>INDEX(Калькулятор!B5:B22,MATCH("Внутренний диаметр (d)",Калькулятор!A5:A22,0),1)-INDEX(Калькулятор!E5:E22,MATCH("Внутренний диаметр (D2)",Калькулятор!D5:D22,0),1)</f>
        <v>#N/A</v>
      </c>
      <c r="C4" s="8" t="s">
        <v>71</v>
      </c>
    </row>
    <row r="5" spans="1:3" x14ac:dyDescent="0.25">
      <c r="A5" s="8" t="s">
        <v>55</v>
      </c>
      <c r="B5" s="8" t="e">
        <f>INDEX(Калькулятор!B5:B22,MATCH("Диаметр проточки (DM)",Калькулятор!A5:A22,0),1)-INDEX(Калькулятор!B5:B22,MATCH("Внутренний диаметр (d)",Калькулятор!A5:A22,0),1)</f>
        <v>#N/A</v>
      </c>
      <c r="C5" s="8" t="s">
        <v>71</v>
      </c>
    </row>
    <row r="6" spans="1:3" x14ac:dyDescent="0.25">
      <c r="A6" s="8" t="s">
        <v>56</v>
      </c>
      <c r="B6" s="8" t="e">
        <f>INDEX(Калькулятор!B5:B22,MATCH("Глубина проточки (a)",Калькулятор!A5:A22,0),1)</f>
        <v>#N/A</v>
      </c>
      <c r="C6" s="8" t="s">
        <v>71</v>
      </c>
    </row>
    <row r="7" spans="1:3" x14ac:dyDescent="0.25">
      <c r="A7" s="8" t="s">
        <v>35</v>
      </c>
      <c r="B7" s="8">
        <f>IFERROR(INDEX(Калькулятор!B5:B22,MATCH("Размер фаски 1 (ch1)",Калькулятор!A5:A22,0),1),0)</f>
        <v>0</v>
      </c>
      <c r="C7" s="8" t="s">
        <v>71</v>
      </c>
    </row>
    <row r="8" spans="1:3" x14ac:dyDescent="0.25">
      <c r="A8" s="8" t="s">
        <v>57</v>
      </c>
      <c r="B8" s="8" t="e">
        <f>INDEX(Калькулятор!B5:B22,MATCH("Угол фаски (ch1)",Калькулятор!A5:A22,0),1)</f>
        <v>#N/A</v>
      </c>
      <c r="C8" s="8" t="s">
        <v>71</v>
      </c>
    </row>
    <row r="9" spans="1:3" x14ac:dyDescent="0.25">
      <c r="A9" s="8" t="s">
        <v>36</v>
      </c>
      <c r="B9" s="8">
        <f>IFERROR(INDEX(Калькулятор!B5:B22,MATCH("Размер фаски 2 (ch2)",Калькулятор!A5:A22,0),1),0)</f>
        <v>0</v>
      </c>
      <c r="C9" s="8" t="s">
        <v>71</v>
      </c>
    </row>
    <row r="10" spans="1:3" x14ac:dyDescent="0.25">
      <c r="A10" s="8" t="s">
        <v>58</v>
      </c>
      <c r="B10" s="8">
        <f>IFERROR(INDEX(Калькулятор!B5:B22,MATCH("Угол фаски (ch2)",Калькулятор!A5:A22,0),1),0)</f>
        <v>0</v>
      </c>
      <c r="C10" s="8" t="s">
        <v>71</v>
      </c>
    </row>
    <row r="11" spans="1:3" x14ac:dyDescent="0.25">
      <c r="A11" s="8" t="s">
        <v>37</v>
      </c>
      <c r="B11" s="8" t="e">
        <f>INDEX(Калькулятор!$B$5:$B$22,MATCH("Размер фаски 3 (ch3)",Калькулятор!$A$5:$A$22,0),1)</f>
        <v>#N/A</v>
      </c>
      <c r="C11" s="8" t="s">
        <v>71</v>
      </c>
    </row>
    <row r="12" spans="1:3" x14ac:dyDescent="0.25">
      <c r="A12" s="8" t="s">
        <v>59</v>
      </c>
      <c r="B12" s="8" t="e">
        <f>INDEX(Калькулятор!B5:B22,MATCH("Угол фаски (ch3)",Калькулятор!A5:A22,0),1)</f>
        <v>#N/A</v>
      </c>
      <c r="C12" s="8" t="s">
        <v>71</v>
      </c>
    </row>
    <row r="13" spans="1:3" x14ac:dyDescent="0.25">
      <c r="A13" s="8" t="s">
        <v>91</v>
      </c>
      <c r="B13" s="8">
        <f>IFERROR(INDEX(Калькулятор!$B$5:$B$22,MATCH("Размер фаски 4 (ch4)",Калькулятор!$A$5:$A$22,0),1),0)</f>
        <v>0</v>
      </c>
      <c r="C13" s="8"/>
    </row>
    <row r="14" spans="1:3" x14ac:dyDescent="0.25">
      <c r="A14" s="8" t="s">
        <v>92</v>
      </c>
      <c r="B14" s="8"/>
      <c r="C14" s="8"/>
    </row>
    <row r="15" spans="1:3" x14ac:dyDescent="0.25">
      <c r="A15" s="8" t="s">
        <v>93</v>
      </c>
      <c r="B15" s="8">
        <f>IFERROR(INDEX(Калькулятор!$B$5:$B$22,MATCH("Размер фаски 5 (ch5)",Калькулятор!$A$5:$A$22,0),1),0)</f>
        <v>0</v>
      </c>
      <c r="C15" s="8"/>
    </row>
    <row r="16" spans="1:3" x14ac:dyDescent="0.25">
      <c r="A16" s="8" t="s">
        <v>94</v>
      </c>
      <c r="B16" s="8"/>
      <c r="C16" s="8"/>
    </row>
    <row r="17" spans="1:3" x14ac:dyDescent="0.25">
      <c r="A17" s="8" t="s">
        <v>95</v>
      </c>
      <c r="B17" s="8">
        <f>IFERROR(INDEX(Калькулятор!$B$5:$B$22,MATCH("Размер фаски 6 (ch6)",Калькулятор!$A$5:$A$22,0),1),0)</f>
        <v>0</v>
      </c>
      <c r="C17" s="8"/>
    </row>
    <row r="18" spans="1:3" x14ac:dyDescent="0.25">
      <c r="A18" s="8" t="s">
        <v>96</v>
      </c>
      <c r="B18" s="8"/>
      <c r="C18" s="8"/>
    </row>
    <row r="19" spans="1:3" x14ac:dyDescent="0.25">
      <c r="A19" s="8" t="s">
        <v>97</v>
      </c>
      <c r="B19" s="8">
        <f>IFERROR(INDEX(Калькулятор!$B$5:$B$22,MATCH("Размер фаски 7 (ch7)",Калькулятор!$A$5:$A$22,0),1),0)</f>
        <v>0</v>
      </c>
      <c r="C19" s="8"/>
    </row>
    <row r="20" spans="1:3" x14ac:dyDescent="0.25">
      <c r="A20" s="8" t="s">
        <v>98</v>
      </c>
      <c r="B20" s="8"/>
      <c r="C20" s="8"/>
    </row>
    <row r="21" spans="1:3" x14ac:dyDescent="0.25">
      <c r="A21" s="8" t="s">
        <v>99</v>
      </c>
      <c r="B21" s="8">
        <f>IFERROR(INDEX(Калькулятор!$B$5:$B$22,MATCH("Размер фаски 8 (ch8)",Калькулятор!$A$5:$A$22,0),1),0)</f>
        <v>0</v>
      </c>
      <c r="C21" s="8"/>
    </row>
    <row r="22" spans="1:3" x14ac:dyDescent="0.25">
      <c r="A22" s="8" t="s">
        <v>100</v>
      </c>
      <c r="B22" s="8"/>
      <c r="C22" s="8"/>
    </row>
    <row r="23" spans="1:3" x14ac:dyDescent="0.25">
      <c r="A23" s="8" t="s">
        <v>101</v>
      </c>
      <c r="B23" s="8">
        <f>IFERROR(INDEX(Калькулятор!$B$5:$B$22,MATCH("Размер фаски 9 (ch9)",Калькулятор!$A$5:$A$22,0),1),0)</f>
        <v>0</v>
      </c>
      <c r="C23" s="8"/>
    </row>
    <row r="24" spans="1:3" x14ac:dyDescent="0.25">
      <c r="A24" s="8" t="s">
        <v>102</v>
      </c>
      <c r="B24" s="8"/>
      <c r="C24" s="8"/>
    </row>
    <row r="25" spans="1:3" x14ac:dyDescent="0.25">
      <c r="A25" s="8" t="s">
        <v>103</v>
      </c>
      <c r="B25" s="8">
        <f>IFERROR(INDEX(Калькулятор!$B$5:$B$22,MATCH("Размер фаски 10 (ch10)",Калькулятор!$A$5:$A$22,0),1),0)</f>
        <v>0</v>
      </c>
      <c r="C25" s="8"/>
    </row>
    <row r="26" spans="1:3" x14ac:dyDescent="0.25">
      <c r="A26" s="8" t="s">
        <v>104</v>
      </c>
      <c r="B26" s="8"/>
      <c r="C26" s="8"/>
    </row>
    <row r="27" spans="1:3" x14ac:dyDescent="0.25">
      <c r="A27" s="9" t="s">
        <v>74</v>
      </c>
      <c r="B27" s="10">
        <f>IFERROR(INDEX(Калькулятор!B5:B22,MATCH("Диаметр 2-ой проточки (Dw)",Калькулятор!A5:A22,0),1)-INDEX(Калькулятор!B5:B22,MATCH("Внутренний диаметр (d)",Калькулятор!A5:A22,0),1),0)</f>
        <v>0</v>
      </c>
      <c r="C27" s="10"/>
    </row>
    <row r="28" spans="1:3" x14ac:dyDescent="0.25">
      <c r="A28" s="10" t="s">
        <v>75</v>
      </c>
      <c r="B28" s="10">
        <f>IFERROR(INDEX(Калькулятор!B5:B22,MATCH("Габарит детали (t)",Калькулятор!A5:A22,0),1)-INDEX(Калькулятор!B5:B22,MATCH("Глубина 2-ой проточки (b)",Калькулятор!A5:A22,0),1),0)</f>
        <v>0</v>
      </c>
      <c r="C28" s="10"/>
    </row>
    <row r="29" spans="1:3" x14ac:dyDescent="0.25">
      <c r="A29" s="9" t="s">
        <v>80</v>
      </c>
      <c r="B29" s="10" t="e">
        <f>INDEX(Калькулятор!E5:E22,MATCH("Толщина листа (S)",Калькулятор!$D$5:$D$22,0),1)</f>
        <v>#N/A</v>
      </c>
      <c r="C29" s="10"/>
    </row>
    <row r="30" spans="1:3" x14ac:dyDescent="0.25">
      <c r="A30" s="9" t="s">
        <v>86</v>
      </c>
      <c r="B30" s="10" t="e">
        <f>INDEX(Калькулятор!B5:B22,MATCH("Габарит детали (t)",Калькулятор!A5:A22,0),1)</f>
        <v>#N/A</v>
      </c>
      <c r="C30" s="10"/>
    </row>
    <row r="31" spans="1:3" x14ac:dyDescent="0.25">
      <c r="A31" s="9" t="s">
        <v>106</v>
      </c>
      <c r="B31" s="10" t="e">
        <f>B3/(2*(HLOOKUP('Получение данных для расчета'!B49,Таблица5[#All],MATCH("Сием поперечное точение",'Типы станков'!A1:A28,0) )))</f>
        <v>#N/A</v>
      </c>
      <c r="C31" s="10"/>
    </row>
    <row r="32" spans="1:3" x14ac:dyDescent="0.25">
      <c r="A32" s="9" t="s">
        <v>108</v>
      </c>
      <c r="B32" s="10" t="e">
        <f>(3.14*B31*(INDEX(Калькулятор!E5:E22,MATCH("Внешний диаметр (D1)",Калькулятор!D5:D22,0),1)+INDEX(Калькулятор!E5:E22,MATCH("Внутренний диаметр (D2)",Калькулятор!D5:D22,0),1)))/2</f>
        <v>#N/A</v>
      </c>
      <c r="C32" s="10"/>
    </row>
    <row r="33" spans="1:8" x14ac:dyDescent="0.25">
      <c r="A33" s="9" t="s">
        <v>107</v>
      </c>
      <c r="B33" s="10" t="e">
        <f>B5/(2*(HLOOKUP('Получение данных для расчета'!B49,Таблица5[#All],MATCH("Сием поперечное точение",'Типы станков'!A1:A28,0) )))</f>
        <v>#N/A</v>
      </c>
      <c r="C33" s="10"/>
    </row>
    <row r="34" spans="1:8" x14ac:dyDescent="0.25">
      <c r="A34" s="9" t="s">
        <v>109</v>
      </c>
      <c r="B34" s="10" t="e">
        <f>(3.14*B33*(INDEX(Калькулятор!B5:B22,MATCH("Диаметр проточки (DM)",Калькулятор!A5:A22,0),1)+INDEX(Калькулятор!B5:B22,MATCH("Внутренний диаметр (d)",Калькулятор!A5:A22,0),1)))/2</f>
        <v>#N/A</v>
      </c>
      <c r="C34" s="10"/>
    </row>
    <row r="35" spans="1:8" x14ac:dyDescent="0.25">
      <c r="A35" s="9" t="s">
        <v>110</v>
      </c>
      <c r="B35" s="10" t="e">
        <f>B27/(2*(HLOOKUP('Получение данных для расчета'!B49,Таблица5[#All],MATCH("Сием поперечное точение",'Типы станков'!A1:A28,0) )))</f>
        <v>#N/A</v>
      </c>
      <c r="C35" s="10"/>
      <c r="H35">
        <f>IFERROR(1,0)</f>
        <v>1</v>
      </c>
    </row>
    <row r="36" spans="1:8" x14ac:dyDescent="0.25">
      <c r="A36" s="9" t="s">
        <v>111</v>
      </c>
      <c r="B36" s="10">
        <f>IFERROR((3.14*B35*(INDEX(Калькулятор!B5:B22,MATCH("Диаметр 2-ой проточки (Dw)",Калькулятор!A5:A22,0),1)+INDEX(Калькулятор!B5:B22,MATCH("Внутренний диаметр (d)",Калькулятор!A5:A22,0),1)))/2,0)</f>
        <v>0</v>
      </c>
      <c r="C36" s="10"/>
    </row>
    <row r="37" spans="1:8" x14ac:dyDescent="0.25">
      <c r="A37" s="9" t="s">
        <v>112</v>
      </c>
      <c r="B37" s="10" t="e">
        <f>B29/HLOOKUP('Получение данных для расчета'!B49,Таблица5[#All],MATCH("Подача продольная ",'Типы станков'!A1:A28,0) )</f>
        <v>#N/A</v>
      </c>
      <c r="C37" s="10"/>
    </row>
    <row r="38" spans="1:8" x14ac:dyDescent="0.25">
      <c r="A38" s="9" t="s">
        <v>113</v>
      </c>
      <c r="B38" s="10" t="e">
        <f>(SQRT( HLOOKUP('Получение данных для расчета'!B49,Таблица5[#All],MATCH("Подача продольная ",'Типы станков'!A1:A28,0) )^2+(3.14*INDEX(Калькулятор!B5:B22,MATCH("Внешний диметр (D)",Калькулятор!A5:A22,0),1))^2))*B37</f>
        <v>#N/A</v>
      </c>
      <c r="C38" s="10"/>
    </row>
    <row r="39" spans="1:8" x14ac:dyDescent="0.25">
      <c r="A39" s="9" t="s">
        <v>114</v>
      </c>
      <c r="B39" s="10" t="e">
        <f>B30/HLOOKUP('Получение данных для расчета'!B49,Таблица5[#All],MATCH("Подача продольная ",'Типы станков'!A1:A28,0) )</f>
        <v>#N/A</v>
      </c>
      <c r="C39" s="10"/>
    </row>
    <row r="40" spans="1:8" x14ac:dyDescent="0.25">
      <c r="A40" s="9" t="s">
        <v>115</v>
      </c>
      <c r="B40" s="10" t="e">
        <f>(SQRT( HLOOKUP('Получение данных для расчета'!B49,Таблица5[#All],MATCH("Подача продольная ",'Типы станков'!A1:A28,0) )^2+(3.14*INDEX(Калькулятор!B5:B22,MATCH("Внутренний диаметр (d)",Калькулятор!A5:A22,0),1))^2))*B39</f>
        <v>#N/A</v>
      </c>
      <c r="C40" s="10"/>
      <c r="D40" t="e">
        <f>HLOOKUP('Получение данных для расчета'!B49,Таблица5[#All],MATCH("Подача продольная ",'Типы станков'!A1:A28,0) )</f>
        <v>#N/A</v>
      </c>
    </row>
    <row r="49" spans="1:2" x14ac:dyDescent="0.25">
      <c r="A49" s="11" t="s">
        <v>48</v>
      </c>
      <c r="B49" s="11" t="e">
        <f>IF(INDEX(Калькулятор!B5:B22,MATCH("Внешний диметр (D)",Калькулятор!A5:A22,0),1)&gt;250,IF(INDEX(Калькулятор!B5:B22,MATCH("Внешний диметр (D)",Калькулятор!A5:A22,0),1)&gt;610,IF(INDEX(Калькулятор!B5:B22,MATCH("Внешний диметр (D)",Калькулятор!A5:A22,0),1)&gt;800,"ошибка отсутствуют станки больших диаметров","1М65"),"1М63"),"16К20")</f>
        <v>#N/A</v>
      </c>
    </row>
    <row r="51" spans="1:2" x14ac:dyDescent="0.25">
      <c r="A51" s="12" t="s">
        <v>43</v>
      </c>
      <c r="B51" s="12" t="e">
        <f>ROUNDUP((B1/2)/(HLOOKUP('Получение данных для расчета'!B49,Таблица5[#All],MATCH("Сием продольное точение",'Типы станков'!A1:A28,0) )),0)</f>
        <v>#N/A</v>
      </c>
    </row>
    <row r="52" spans="1:2" x14ac:dyDescent="0.25">
      <c r="A52" s="12" t="s">
        <v>44</v>
      </c>
      <c r="B52" s="12" t="e">
        <f>ROUNDUP((B2/2)/(HLOOKUP('Получение данных для расчета'!B49,Таблица5[#All],MATCH("Сием поперечное точение",'Типы станков'!A1:A28,0) )),0)</f>
        <v>#N/A</v>
      </c>
    </row>
    <row r="53" spans="1:2" x14ac:dyDescent="0.25">
      <c r="A53" s="12" t="s">
        <v>82</v>
      </c>
      <c r="B53" s="12" t="e">
        <f>ROUNDUP((B4/2)/(HLOOKUP('Получение данных для расчета'!B49,Таблица5[#All],MATCH("Сием поперечное точение",'Типы станков'!A1:A28,0) )),0)</f>
        <v>#N/A</v>
      </c>
    </row>
    <row r="54" spans="1:2" x14ac:dyDescent="0.25">
      <c r="A54" s="12" t="s">
        <v>87</v>
      </c>
      <c r="B54" s="12" t="e">
        <f>ROUNDUP((B6/2)/(HLOOKUP('Получение данных для расчета'!B49,Таблица5[#All],MATCH("Сием поперечное точение",'Типы станков'!A1:A28,0) )),0)</f>
        <v>#N/A</v>
      </c>
    </row>
    <row r="55" spans="1:2" x14ac:dyDescent="0.25">
      <c r="A55" s="12" t="s">
        <v>88</v>
      </c>
      <c r="B55" s="12" t="e">
        <f>ROUNDUP((B28/2)/(HLOOKUP('Получение данных для расчета'!B49,Таблица5[#All],MATCH("Сием поперечное точение",'Типы станков'!A1:A28,0) )),0)</f>
        <v>#N/A</v>
      </c>
    </row>
    <row r="56" spans="1:2" x14ac:dyDescent="0.25">
      <c r="A56" s="14"/>
    </row>
    <row r="57" spans="1:2" x14ac:dyDescent="0.25">
      <c r="A57" s="14"/>
    </row>
    <row r="59" spans="1:2" x14ac:dyDescent="0.25">
      <c r="A59" s="13" t="s">
        <v>81</v>
      </c>
      <c r="B59" s="13" t="e">
        <f>B38*B51</f>
        <v>#N/A</v>
      </c>
    </row>
    <row r="60" spans="1:2" x14ac:dyDescent="0.25">
      <c r="A60" s="13" t="s">
        <v>85</v>
      </c>
      <c r="B60" s="13" t="e">
        <f>B40*B53</f>
        <v>#N/A</v>
      </c>
    </row>
    <row r="61" spans="1:2" x14ac:dyDescent="0.25">
      <c r="A61" s="13" t="s">
        <v>89</v>
      </c>
      <c r="B61" s="13" t="e">
        <f>IF(B34*B54+B36*B55&gt;=0,B34*B54+B36*B55,"Ошибка длинна расточки меньше 0!")</f>
        <v>#N/A</v>
      </c>
    </row>
    <row r="62" spans="1:2" x14ac:dyDescent="0.25">
      <c r="A62" s="13" t="s">
        <v>122</v>
      </c>
      <c r="B62" s="13" t="e">
        <f>B32*B52</f>
        <v>#N/A</v>
      </c>
    </row>
    <row r="65" spans="1:11" x14ac:dyDescent="0.25">
      <c r="A65" t="s">
        <v>119</v>
      </c>
      <c r="B65" t="e">
        <f>B59/HLOOKUP('Получение данных для расчета'!B49,Таблица5[#All],MATCH("Скорость резания продольная мм/мин",'Типы станков'!A1:A28,0) )</f>
        <v>#N/A</v>
      </c>
    </row>
    <row r="66" spans="1:11" x14ac:dyDescent="0.25">
      <c r="A66" t="s">
        <v>120</v>
      </c>
      <c r="B66" t="e">
        <f>B60/HLOOKUP('Получение данных для расчета'!B49,Таблица5[#All],MATCH("Скорость резания продольная мм/мин",'Типы станков'!A1:A28,0) )</f>
        <v>#N/A</v>
      </c>
    </row>
    <row r="67" spans="1:11" x14ac:dyDescent="0.25">
      <c r="A67" t="s">
        <v>121</v>
      </c>
      <c r="B67" t="e">
        <f>B61/HLOOKUP('Получение данных для расчета'!B49,Таблица5[#All],MATCH("Скорость резания поперечная мм/мин",'Типы станков'!A1:A28,0) )</f>
        <v>#N/A</v>
      </c>
    </row>
    <row r="68" spans="1:11" x14ac:dyDescent="0.25">
      <c r="A68" t="s">
        <v>123</v>
      </c>
      <c r="B68" t="e">
        <f>B62/HLOOKUP('Получение данных для расчета'!B49,Таблица5[#All],MATCH("Скорость резания поперечная мм/мин",'Типы станков'!A1:A28,0) )</f>
        <v>#N/A</v>
      </c>
    </row>
    <row r="69" spans="1:11" x14ac:dyDescent="0.25">
      <c r="A69" t="s">
        <v>124</v>
      </c>
      <c r="B69" t="e">
        <f>B75/HLOOKUP('Получение данных для расчета'!B49,Таблица5[#All],MATCH("Скорость резания фасок мм/мин",'Типы станков'!A1:A28,0) )</f>
        <v>#N/A</v>
      </c>
    </row>
    <row r="73" spans="1:11" x14ac:dyDescent="0.25">
      <c r="A73" s="18" t="s">
        <v>60</v>
      </c>
      <c r="B73" s="7" t="s">
        <v>61</v>
      </c>
      <c r="C73" s="7" t="s">
        <v>62</v>
      </c>
      <c r="D73" s="7" t="s">
        <v>63</v>
      </c>
      <c r="E73" s="7" t="s">
        <v>64</v>
      </c>
      <c r="F73" s="7" t="s">
        <v>65</v>
      </c>
      <c r="G73" s="7" t="s">
        <v>66</v>
      </c>
      <c r="H73" s="7" t="s">
        <v>67</v>
      </c>
      <c r="I73" s="7" t="s">
        <v>68</v>
      </c>
      <c r="J73" s="7" t="s">
        <v>69</v>
      </c>
      <c r="K73" s="7" t="s">
        <v>70</v>
      </c>
    </row>
    <row r="74" spans="1:11" x14ac:dyDescent="0.25">
      <c r="A74" s="19"/>
      <c r="B74" s="7">
        <f>IFERROR(ROUND(B7/COS(B8),2),0)</f>
        <v>0</v>
      </c>
      <c r="C74" s="7">
        <f>IFERROR(ROUND(B9/COS(B10),2),0)</f>
        <v>0</v>
      </c>
      <c r="D74" s="7">
        <f>IFERROR(ROUND(B11/COS(B12),2),0)</f>
        <v>0</v>
      </c>
      <c r="E74" s="7">
        <f>IFERROR(ROUND(B13/COS(B14),2),0)</f>
        <v>0</v>
      </c>
      <c r="F74" s="7">
        <f>IFERROR(ROUND(B15/COS(B16),2),0)</f>
        <v>0</v>
      </c>
      <c r="G74" s="7">
        <f>IFERROR(ROUND(B17/COS(B18),2),0)</f>
        <v>0</v>
      </c>
      <c r="H74" s="7">
        <f>IFERROR(ROUND(B19/COS(B20),2),0)</f>
        <v>0</v>
      </c>
      <c r="I74" s="7">
        <f>IFERROR(ROUND(B21/COS(B22),2),0)</f>
        <v>0</v>
      </c>
      <c r="J74" s="7">
        <f>IFERROR(ROUND(B23/COS(B24),2),0)</f>
        <v>0</v>
      </c>
      <c r="K74" s="7">
        <f>IFERROR(ROUND(B25/COS(B26),2),0)</f>
        <v>0</v>
      </c>
    </row>
    <row r="75" spans="1:11" x14ac:dyDescent="0.25">
      <c r="A75" s="15" t="s">
        <v>90</v>
      </c>
      <c r="B75" s="15">
        <f>SUM(B74:K74)</f>
        <v>0</v>
      </c>
    </row>
  </sheetData>
  <mergeCells count="1">
    <mergeCell ref="A73:A7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985C-FE10-487E-AB5B-8955A213B9F1}">
  <sheetPr codeName="Лист6"/>
  <dimension ref="A1:B20"/>
  <sheetViews>
    <sheetView workbookViewId="0">
      <selection activeCell="A6" sqref="A6"/>
    </sheetView>
  </sheetViews>
  <sheetFormatPr defaultRowHeight="15" x14ac:dyDescent="0.25"/>
  <cols>
    <col min="1" max="1" width="86.85546875" customWidth="1"/>
    <col min="2" max="2" width="62.7109375" customWidth="1"/>
  </cols>
  <sheetData>
    <row r="1" spans="1:2" x14ac:dyDescent="0.25">
      <c r="A1" t="e">
        <f>MATCH("Внешний диметр (D)",Калькулятор!A5:A22,0)</f>
        <v>#N/A</v>
      </c>
      <c r="B1" t="s">
        <v>46</v>
      </c>
    </row>
    <row r="2" spans="1:2" x14ac:dyDescent="0.25">
      <c r="A2" t="e">
        <f>INDEX(Калькулятор!B5:B22,MATCH("Внешний диметр (D)",Калькулятор!A5:A22,0),1)</f>
        <v>#N/A</v>
      </c>
      <c r="B2" t="s">
        <v>47</v>
      </c>
    </row>
    <row r="3" spans="1:2" x14ac:dyDescent="0.25">
      <c r="A3" t="e">
        <f>IF(INDEX(Калькулятор!B5:B22,MATCH("Внешний диметр (D)",Калькулятор!A5:A22,0),1)&gt;250,IF(INDEX(Калькулятор!B5:B22,MATCH("Внешний диметр (D)",Калькулятор!A5:A22,0),1)&gt;610,IF(INDEX(Калькулятор!B5:B22,MATCH("Внешний диметр (D)",Калькулятор!A5:A22,0),1)&gt;800,"ошибка отсутствуют станки больших диаметров","1М65"),"1М63"),"16К20")</f>
        <v>#N/A</v>
      </c>
      <c r="B3" t="s">
        <v>50</v>
      </c>
    </row>
    <row r="5" spans="1:2" x14ac:dyDescent="0.25">
      <c r="A5">
        <f>ROUNDUP(3.2,0)</f>
        <v>4</v>
      </c>
    </row>
    <row r="19" spans="1:1" x14ac:dyDescent="0.25">
      <c r="A19">
        <f>MATCH("16К20",'Типы станков'!1:1,1)</f>
        <v>2</v>
      </c>
    </row>
    <row r="20" spans="1:1" x14ac:dyDescent="0.25">
      <c r="A20">
        <f>HLOOKUP(Таблица5[#Headers],Таблица5[#All],MATCH("Сием продольное точение",'Типы станков'!A1:A28,0) )</f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F0AB-90EE-44E9-A03F-9A17C948A4CA}">
  <sheetPr codeName="Лист7"/>
  <dimension ref="A1:C4"/>
  <sheetViews>
    <sheetView workbookViewId="0">
      <selection activeCell="B5" sqref="B5"/>
    </sheetView>
  </sheetViews>
  <sheetFormatPr defaultRowHeight="15" x14ac:dyDescent="0.25"/>
  <cols>
    <col min="1" max="1" width="29.5703125" customWidth="1"/>
    <col min="2" max="2" width="32.28515625" customWidth="1"/>
    <col min="3" max="3" width="27.28515625" customWidth="1"/>
  </cols>
  <sheetData>
    <row r="1" spans="1:3" x14ac:dyDescent="0.25">
      <c r="A1" t="s">
        <v>13</v>
      </c>
      <c r="B1" t="s">
        <v>71</v>
      </c>
      <c r="C1" t="s">
        <v>2</v>
      </c>
    </row>
    <row r="2" spans="1:3" x14ac:dyDescent="0.25">
      <c r="A2" t="s">
        <v>21</v>
      </c>
      <c r="B2" t="s">
        <v>39</v>
      </c>
      <c r="C2" t="s">
        <v>39</v>
      </c>
    </row>
    <row r="3" spans="1:3" x14ac:dyDescent="0.25">
      <c r="A3" t="s">
        <v>7</v>
      </c>
      <c r="B3" t="s">
        <v>40</v>
      </c>
      <c r="C3" t="s">
        <v>40</v>
      </c>
    </row>
    <row r="4" spans="1:3" x14ac:dyDescent="0.25">
      <c r="A4" t="s">
        <v>22</v>
      </c>
      <c r="B4" t="s">
        <v>41</v>
      </c>
      <c r="C4" t="s">
        <v>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EE10-843D-4CB8-9849-79909F37BF0E}">
  <sheetPr codeName="Лист8"/>
  <dimension ref="A1:I14"/>
  <sheetViews>
    <sheetView workbookViewId="0">
      <selection activeCell="C4" sqref="C4"/>
    </sheetView>
  </sheetViews>
  <sheetFormatPr defaultRowHeight="15" x14ac:dyDescent="0.25"/>
  <cols>
    <col min="1" max="1" width="33.85546875" customWidth="1"/>
    <col min="2" max="2" width="26.42578125" customWidth="1"/>
    <col min="3" max="3" width="29.85546875" customWidth="1"/>
    <col min="4" max="4" width="26.7109375" customWidth="1"/>
    <col min="5" max="5" width="26.85546875" customWidth="1"/>
    <col min="6" max="6" width="26.7109375" customWidth="1"/>
    <col min="7" max="7" width="31" customWidth="1"/>
    <col min="8" max="8" width="38.140625" customWidth="1"/>
    <col min="9" max="9" width="27" customWidth="1"/>
  </cols>
  <sheetData>
    <row r="1" spans="1:9" x14ac:dyDescent="0.25">
      <c r="A1" s="16" t="s">
        <v>71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H1" t="s">
        <v>14</v>
      </c>
      <c r="I1" t="s">
        <v>15</v>
      </c>
    </row>
    <row r="2" spans="1:9" x14ac:dyDescent="0.25">
      <c r="A2" t="s">
        <v>31</v>
      </c>
      <c r="B2" t="s">
        <v>6</v>
      </c>
      <c r="C2" t="s">
        <v>31</v>
      </c>
      <c r="D2" t="s">
        <v>6</v>
      </c>
      <c r="E2" t="s">
        <v>6</v>
      </c>
      <c r="F2" t="s">
        <v>6</v>
      </c>
      <c r="G2" t="s">
        <v>6</v>
      </c>
    </row>
    <row r="3" spans="1:9" x14ac:dyDescent="0.25">
      <c r="A3" t="s">
        <v>30</v>
      </c>
      <c r="C3" t="s">
        <v>30</v>
      </c>
    </row>
    <row r="4" spans="1:9" x14ac:dyDescent="0.25">
      <c r="A4" t="s">
        <v>32</v>
      </c>
      <c r="C4" t="s">
        <v>32</v>
      </c>
    </row>
    <row r="5" spans="1:9" x14ac:dyDescent="0.25">
      <c r="A5" t="s">
        <v>33</v>
      </c>
      <c r="C5" t="s">
        <v>33</v>
      </c>
    </row>
    <row r="6" spans="1:9" x14ac:dyDescent="0.25">
      <c r="A6" t="s">
        <v>34</v>
      </c>
      <c r="C6" t="s">
        <v>34</v>
      </c>
    </row>
    <row r="7" spans="1:9" x14ac:dyDescent="0.25">
      <c r="A7" t="s">
        <v>35</v>
      </c>
      <c r="C7" t="s">
        <v>72</v>
      </c>
    </row>
    <row r="8" spans="1:9" x14ac:dyDescent="0.25">
      <c r="A8" t="s">
        <v>57</v>
      </c>
      <c r="C8" t="s">
        <v>73</v>
      </c>
    </row>
    <row r="9" spans="1:9" x14ac:dyDescent="0.25">
      <c r="A9" t="s">
        <v>36</v>
      </c>
      <c r="C9" t="s">
        <v>35</v>
      </c>
    </row>
    <row r="10" spans="1:9" x14ac:dyDescent="0.25">
      <c r="A10" t="s">
        <v>58</v>
      </c>
      <c r="C10" t="s">
        <v>57</v>
      </c>
    </row>
    <row r="11" spans="1:9" x14ac:dyDescent="0.25">
      <c r="A11" t="s">
        <v>37</v>
      </c>
      <c r="C11" t="s">
        <v>36</v>
      </c>
    </row>
    <row r="12" spans="1:9" x14ac:dyDescent="0.25">
      <c r="A12" t="s">
        <v>59</v>
      </c>
      <c r="C12" t="s">
        <v>58</v>
      </c>
    </row>
    <row r="13" spans="1:9" x14ac:dyDescent="0.25">
      <c r="C13" t="s">
        <v>37</v>
      </c>
    </row>
    <row r="14" spans="1:9" x14ac:dyDescent="0.25">
      <c r="C14" t="s">
        <v>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F2D8-67F6-4B9F-943D-AED28BFEE66A}">
  <sheetPr codeName="Лист9"/>
  <dimension ref="A1:A10"/>
  <sheetViews>
    <sheetView workbookViewId="0">
      <selection activeCell="A11" sqref="A11"/>
    </sheetView>
  </sheetViews>
  <sheetFormatPr defaultRowHeight="15" x14ac:dyDescent="0.25"/>
  <cols>
    <col min="1" max="1" width="29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14</v>
      </c>
    </row>
    <row r="4" spans="1:1" x14ac:dyDescent="0.25">
      <c r="A4" t="s">
        <v>5</v>
      </c>
    </row>
    <row r="5" spans="1:1" x14ac:dyDescent="0.25">
      <c r="A5" t="s">
        <v>3</v>
      </c>
    </row>
    <row r="6" spans="1:1" x14ac:dyDescent="0.25">
      <c r="A6" t="s">
        <v>15</v>
      </c>
    </row>
    <row r="7" spans="1:1" x14ac:dyDescent="0.25">
      <c r="A7" t="s">
        <v>13</v>
      </c>
    </row>
    <row r="8" spans="1:1" x14ac:dyDescent="0.25">
      <c r="A8" t="s">
        <v>2</v>
      </c>
    </row>
    <row r="9" spans="1:1" x14ac:dyDescent="0.25">
      <c r="A9" t="s">
        <v>71</v>
      </c>
    </row>
    <row r="10" spans="1:1" x14ac:dyDescent="0.25">
      <c r="A10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Калькулятор</vt:lpstr>
      <vt:lpstr>Типы станков</vt:lpstr>
      <vt:lpstr>Лист2</vt:lpstr>
      <vt:lpstr>Получение данных для расчета</vt:lpstr>
      <vt:lpstr>Лист3</vt:lpstr>
      <vt:lpstr>Параметры заготовки</vt:lpstr>
      <vt:lpstr>Параметры изделий</vt:lpstr>
      <vt:lpstr>Типы изделий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Гожко Николай Алексеевич</dc:creator>
  <cp:lastModifiedBy>Леонид Викторович Клименко</cp:lastModifiedBy>
  <dcterms:created xsi:type="dcterms:W3CDTF">2025-10-29T07:41:08Z</dcterms:created>
  <dcterms:modified xsi:type="dcterms:W3CDTF">2025-11-06T13:03:05Z</dcterms:modified>
</cp:coreProperties>
</file>
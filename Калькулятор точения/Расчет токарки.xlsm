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клименко лв\Desktop\Калькулятор точения\"/>
    </mc:Choice>
  </mc:AlternateContent>
  <xr:revisionPtr revIDLastSave="0" documentId="13_ncr:1_{F9808447-7FF4-499A-A409-09AB0038C78F}" xr6:coauthVersionLast="47" xr6:coauthVersionMax="47" xr10:uidLastSave="{00000000-0000-0000-0000-000000000000}"/>
  <bookViews>
    <workbookView xWindow="-120" yWindow="-120" windowWidth="29040" windowHeight="15840" tabRatio="717" activeTab="2" xr2:uid="{3319175A-366A-4509-82E9-4F13C5AB1865}"/>
  </bookViews>
  <sheets>
    <sheet name="Калькулятор" sheetId="1" r:id="rId1"/>
    <sheet name="Типы станков" sheetId="4" r:id="rId2"/>
    <sheet name="Лист1" sheetId="10" r:id="rId3"/>
    <sheet name="Получение данных для расчета" sheetId="9" r:id="rId4"/>
    <sheet name="Лист3" sheetId="8" r:id="rId5"/>
    <sheet name="Параметры заготовки" sheetId="6" r:id="rId6"/>
    <sheet name="Параметры изделий" sheetId="3" r:id="rId7"/>
    <sheet name="Типы изделий" sheetId="2" r:id="rId8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5" i="9" l="1"/>
  <c r="A5" i="8"/>
  <c r="A20" i="8"/>
  <c r="A19" i="8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5" i="1"/>
  <c r="A5" i="1"/>
  <c r="A10" i="1"/>
  <c r="A12" i="1"/>
  <c r="A13" i="1"/>
  <c r="A14" i="1"/>
  <c r="A15" i="1"/>
  <c r="A16" i="1"/>
  <c r="A17" i="1"/>
  <c r="A18" i="1"/>
  <c r="A19" i="1"/>
  <c r="A20" i="1"/>
  <c r="A21" i="1"/>
  <c r="A22" i="1"/>
  <c r="A11" i="1"/>
  <c r="A6" i="1"/>
  <c r="A7" i="1"/>
  <c r="A8" i="1"/>
  <c r="A9" i="1"/>
  <c r="B3" i="9" l="1"/>
  <c r="B41" i="9"/>
  <c r="B28" i="9"/>
  <c r="B25" i="9"/>
  <c r="K82" i="9" s="1"/>
  <c r="B1" i="9"/>
  <c r="B4" i="9"/>
  <c r="B5" i="9"/>
  <c r="B27" i="9"/>
  <c r="B29" i="9"/>
  <c r="B7" i="9"/>
  <c r="B9" i="9"/>
  <c r="B13" i="9"/>
  <c r="E82" i="9" s="1"/>
  <c r="B15" i="9"/>
  <c r="F82" i="9" s="1"/>
  <c r="B17" i="9"/>
  <c r="G82" i="9" s="1"/>
  <c r="B19" i="9"/>
  <c r="H82" i="9" s="1"/>
  <c r="B21" i="9"/>
  <c r="I82" i="9" s="1"/>
  <c r="B23" i="9"/>
  <c r="J82" i="9" s="1"/>
  <c r="B10" i="9"/>
  <c r="B11" i="9"/>
  <c r="B30" i="9"/>
  <c r="B12" i="9"/>
  <c r="B8" i="9"/>
  <c r="B6" i="9"/>
  <c r="B53" i="9"/>
  <c r="A2" i="8"/>
  <c r="A3" i="8"/>
  <c r="B2" i="9"/>
  <c r="A1" i="8"/>
  <c r="B35" i="9" l="1"/>
  <c r="B33" i="9"/>
  <c r="B34" i="9" s="1"/>
  <c r="B31" i="9"/>
  <c r="B32" i="9" s="1"/>
  <c r="B60" i="9"/>
  <c r="B55" i="9"/>
  <c r="B56" i="9"/>
  <c r="B57" i="9"/>
  <c r="B58" i="9"/>
  <c r="B59" i="9"/>
  <c r="E1" i="1"/>
  <c r="B42" i="9"/>
  <c r="B39" i="9"/>
  <c r="B40" i="9" s="1"/>
  <c r="B37" i="9"/>
  <c r="B38" i="9" s="1"/>
  <c r="D40" i="9"/>
  <c r="D82" i="9"/>
  <c r="B82" i="9"/>
  <c r="C82" i="9"/>
  <c r="B65" i="9" l="1"/>
  <c r="B73" i="9" s="1"/>
  <c r="B66" i="9"/>
  <c r="B74" i="9" s="1"/>
  <c r="B68" i="9"/>
  <c r="B76" i="9" s="1"/>
  <c r="B36" i="9"/>
  <c r="B43" i="9"/>
  <c r="B83" i="9"/>
  <c r="B77" i="9" s="1"/>
  <c r="B67" i="9" l="1"/>
  <c r="B75" i="9"/>
  <c r="E2" i="1" s="1"/>
</calcChain>
</file>

<file path=xl/sharedStrings.xml><?xml version="1.0" encoding="utf-8"?>
<sst xmlns="http://schemas.openxmlformats.org/spreadsheetml/2006/main" count="238" uniqueCount="120">
  <si>
    <t>Тип изделия</t>
  </si>
  <si>
    <t>Кольцо приварное</t>
  </si>
  <si>
    <t>Фланец приварной</t>
  </si>
  <si>
    <t>Фланец компенсатора</t>
  </si>
  <si>
    <t>Фланец формующий</t>
  </si>
  <si>
    <t>Обечайка</t>
  </si>
  <si>
    <t>Столбец7</t>
  </si>
  <si>
    <t>Фланец поворотный</t>
  </si>
  <si>
    <t>Круг</t>
  </si>
  <si>
    <t>Фланец переходной</t>
  </si>
  <si>
    <t>Параметры заготовки</t>
  </si>
  <si>
    <t>Параметры детали</t>
  </si>
  <si>
    <t>16К20</t>
  </si>
  <si>
    <t>Столбец5</t>
  </si>
  <si>
    <t>Столбец6</t>
  </si>
  <si>
    <t>1М63</t>
  </si>
  <si>
    <t>Режим</t>
  </si>
  <si>
    <t>Внутренний диаметр (d)</t>
  </si>
  <si>
    <t>Внешний диметр (D)</t>
  </si>
  <si>
    <t>Габарит детали (t)</t>
  </si>
  <si>
    <r>
      <t>Диаметр проточки (D</t>
    </r>
    <r>
      <rPr>
        <sz val="8"/>
        <color theme="1"/>
        <rFont val="Calibri"/>
        <family val="2"/>
        <charset val="204"/>
        <scheme val="minor"/>
      </rPr>
      <t>M</t>
    </r>
    <r>
      <rPr>
        <sz val="11"/>
        <color theme="1"/>
        <rFont val="Calibri"/>
        <family val="2"/>
        <charset val="204"/>
        <scheme val="minor"/>
      </rPr>
      <t>)</t>
    </r>
  </si>
  <si>
    <t>Глубина проточки (a)</t>
  </si>
  <si>
    <t>Размер фаски 1 (ch1)</t>
  </si>
  <si>
    <t>Размер фаски 2 (ch2)</t>
  </si>
  <si>
    <t>Размер фаски 3 (ch3)</t>
  </si>
  <si>
    <t>Внешний диаметр (D1)</t>
  </si>
  <si>
    <t>Внутренний диаметр (D2)</t>
  </si>
  <si>
    <t>Толщина листа (S)</t>
  </si>
  <si>
    <t>Количество внешних проходов</t>
  </si>
  <si>
    <t>Количество торцевых проходов проходов</t>
  </si>
  <si>
    <t>1М65</t>
  </si>
  <si>
    <t>определяем позицию в списке</t>
  </si>
  <si>
    <t>Получаем значение</t>
  </si>
  <si>
    <t>Тип станка</t>
  </si>
  <si>
    <t>Максимальный диаметр</t>
  </si>
  <si>
    <t>Сравнение с таблицей и получение модели станка</t>
  </si>
  <si>
    <t>Глубина внешнего точения (D1-D)</t>
  </si>
  <si>
    <t>Глубина торцовки (S-t)</t>
  </si>
  <si>
    <t>Длина торцовки (D1-D2)</t>
  </si>
  <si>
    <t>Глубина внутреннего точения (d-D2)</t>
  </si>
  <si>
    <t>Длина внутренней проточки (Dm-d)</t>
  </si>
  <si>
    <t>Глубина внутренней проточки (a)</t>
  </si>
  <si>
    <t>Угол фаски (ch1)</t>
  </si>
  <si>
    <t>Угол фаски (ch2)</t>
  </si>
  <si>
    <t>Угол фаски (ch3)</t>
  </si>
  <si>
    <t>Расчет длинны фасок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</si>
  <si>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</si>
  <si>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</si>
  <si>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</si>
  <si>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</si>
  <si>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</si>
  <si>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</si>
  <si>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</si>
  <si>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</si>
  <si>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</si>
  <si>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</si>
  <si>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Фланец приварной ТНФ</t>
  </si>
  <si>
    <t>Диаметр 2-ой проточки (Dw)</t>
  </si>
  <si>
    <t>Глубина 2-ой проточки (b)</t>
  </si>
  <si>
    <t>Длина 2-ой внутренней проточки (Dw-d)</t>
  </si>
  <si>
    <t>Глубина 2-ой внутренней проточки (t-b)</t>
  </si>
  <si>
    <t>Сием продольное точение</t>
  </si>
  <si>
    <t>Сием поперечное точение</t>
  </si>
  <si>
    <t xml:space="preserve">Подача продольная </t>
  </si>
  <si>
    <t>Подача поперечная</t>
  </si>
  <si>
    <t>Длина внешнего точения (S)</t>
  </si>
  <si>
    <t>Общий путь наружнего точения</t>
  </si>
  <si>
    <t>Количество проходов внутреннего точения</t>
  </si>
  <si>
    <t>Сием продольное внутр. Точение</t>
  </si>
  <si>
    <t>Подача продольная внутр. Точение</t>
  </si>
  <si>
    <t>Общий путь внутреннего точения</t>
  </si>
  <si>
    <t>Длина внутреннего точения (t)</t>
  </si>
  <si>
    <t>Количество проходов внутренней проточки</t>
  </si>
  <si>
    <t>Количество проходов 2-ой внутренней  проточки</t>
  </si>
  <si>
    <t>Общий путь внутренней проточки</t>
  </si>
  <si>
    <t>Общая длина фасок</t>
  </si>
  <si>
    <t>Размер фаски 4 (ch4)</t>
  </si>
  <si>
    <t>Угол фаски (ch4)</t>
  </si>
  <si>
    <t>Размер фаски 5 (ch5)</t>
  </si>
  <si>
    <t>Угол фаски (ch5)</t>
  </si>
  <si>
    <t>Размер фаски 6 (ch6)</t>
  </si>
  <si>
    <t>Угол фаски (ch6)</t>
  </si>
  <si>
    <t>Размер фаски 7 (ch7)</t>
  </si>
  <si>
    <t>Угол фаски (ch7)</t>
  </si>
  <si>
    <t>Размер фаски 8 (ch8)</t>
  </si>
  <si>
    <t>Угол фаски (ch8)</t>
  </si>
  <si>
    <t>Размер фаски 9 (ch9)</t>
  </si>
  <si>
    <t>Угол фаски (ch9)</t>
  </si>
  <si>
    <t>Размер фаски 10 (ch10)</t>
  </si>
  <si>
    <t>Угол фаски (ch10)</t>
  </si>
  <si>
    <t>Обороты шпинделя</t>
  </si>
  <si>
    <t>Количество витков при торцовке</t>
  </si>
  <si>
    <t>Количество витков при 1-ой проточке</t>
  </si>
  <si>
    <t>Путь 1-го прохода торцовки</t>
  </si>
  <si>
    <t>Путь 1-го прохода при 1-ой проточке</t>
  </si>
  <si>
    <t>Количество витков при 2-ой проточке</t>
  </si>
  <si>
    <t>Путь 1-го прохода при 2-ой проточке</t>
  </si>
  <si>
    <t>Количество шагов внешн. Диаметр</t>
  </si>
  <si>
    <t>Путь 1-го прохода внеш. Точения</t>
  </si>
  <si>
    <t>Количество шагов внутр. Диаметр</t>
  </si>
  <si>
    <t>Путь 1-го прохода внутр. Точения</t>
  </si>
  <si>
    <t>Скорость резания продольная мм/мин</t>
  </si>
  <si>
    <t>Скорость резания поперечная мм/мин</t>
  </si>
  <si>
    <t>Скорость резания фасок мм/мин</t>
  </si>
  <si>
    <t>время нар. Точения</t>
  </si>
  <si>
    <t>время внутр. Точения</t>
  </si>
  <si>
    <t>время внутр. Растачивания</t>
  </si>
  <si>
    <t>Общий путь торцовки</t>
  </si>
  <si>
    <t>Время торцовки</t>
  </si>
  <si>
    <t>Время точения фасок</t>
  </si>
  <si>
    <t>Время токарной обработки</t>
  </si>
  <si>
    <t>с.</t>
  </si>
  <si>
    <t>Рабочий центр</t>
  </si>
  <si>
    <t>Глубина 2-ой проточки (с)</t>
  </si>
  <si>
    <t>Глубина 2-ой внутренней проточки (с)</t>
  </si>
  <si>
    <t>Формующие</t>
  </si>
  <si>
    <t>Количество проходов 2-ой внутренней  проточки Формующие</t>
  </si>
  <si>
    <t>Количество витков при 2-ой проточке Формующие</t>
  </si>
  <si>
    <t>Путь 1-го прохода при 2-ой проточке Формующие</t>
  </si>
  <si>
    <t>Средний диаметр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</si>
</sst>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2" fillId="3" borderId="0" applyNumberFormat="0" applyBorder="0" applyAlignment="0" applyProtection="0"/>
    <xf numFmtId="0" fontId="2" fillId="4" borderId="0" applyNumberFormat="0" applyBorder="0" applyAlignment="0" applyProtection="0"/>
  </cellStyleXfs>
  <cellXfs count="39">
    <xf numFmtId="0" fontId="0" fillId="0" borderId="0" xfId="0"/>
    <xf numFmtId="0" fontId="0" fillId="2" borderId="0" xfId="0" applyFill="1"/>
    <xf numFmtId="0" fontId="2" fillId="4" borderId="1" xfId="2" applyBorder="1"/>
    <xf numFmtId="0" fontId="2" fillId="3" borderId="1" xfId="1" applyBorder="1"/>
    <xf numFmtId="0" fontId="2" fillId="5" borderId="1" xfId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7" borderId="0" xfId="0" applyFill="1"/>
    <xf numFmtId="0" fontId="0" fillId="9" borderId="1" xfId="0" applyFill="1" applyBorder="1"/>
    <xf numFmtId="49" fontId="0" fillId="0" borderId="0" xfId="0" applyNumberFormat="1"/>
    <xf numFmtId="0" fontId="0" fillId="0" borderId="1" xfId="0" applyBorder="1"/>
    <xf numFmtId="0" fontId="0" fillId="2" borderId="1" xfId="0" applyFill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/>
    </xf>
    <xf numFmtId="0" fontId="0" fillId="10" borderId="0" xfId="0" applyFill="1"/>
    <xf numFmtId="0" fontId="0" fillId="0" borderId="3" xfId="0" applyBorder="1"/>
    <xf numFmtId="0" fontId="0" fillId="11" borderId="1" xfId="0" applyFill="1" applyBorder="1"/>
    <xf numFmtId="0" fontId="0" fillId="11" borderId="1" xfId="0" applyFill="1" applyBorder="1" applyAlignment="1">
      <alignment horizontal="center" vertical="center"/>
    </xf>
    <xf numFmtId="0" fontId="0" fillId="7" borderId="4" xfId="0" applyFill="1" applyBorder="1"/>
    <xf numFmtId="0" fontId="0" fillId="10" borderId="0" xfId="0" applyFill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left" vertical="center"/>
    </xf>
    <xf numFmtId="0" fontId="0" fillId="5" borderId="1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2" fillId="4" borderId="2" xfId="2" applyBorder="1" applyAlignment="1">
      <alignment horizontal="center" vertical="center"/>
    </xf>
    <xf numFmtId="0" fontId="2" fillId="4" borderId="3" xfId="2" applyBorder="1" applyAlignment="1">
      <alignment horizontal="center" vertical="center"/>
    </xf>
    <xf numFmtId="0" fontId="0" fillId="0" borderId="5" xfId="0" applyBorder="1"/>
    <xf numFmtId="0" fontId="4" fillId="12" borderId="3" xfId="0" applyFont="1" applyFill="1" applyBorder="1"/>
    <xf numFmtId="0" fontId="4" fillId="12" borderId="6" xfId="0" applyFont="1" applyFill="1" applyBorder="1"/>
    <xf numFmtId="0" fontId="0" fillId="0" borderId="7" xfId="0" applyBorder="1"/>
    <xf numFmtId="0" fontId="4" fillId="0" borderId="1" xfId="0" applyFont="1" applyFill="1" applyBorder="1"/>
    <xf numFmtId="0" fontId="4" fillId="0" borderId="4" xfId="0" applyFont="1" applyFill="1" applyBorder="1"/>
    <xf numFmtId="0" fontId="0" fillId="0" borderId="4" xfId="0" applyBorder="1"/>
    <xf numFmtId="0" fontId="0" fillId="0" borderId="8" xfId="0" applyBorder="1"/>
    <xf numFmtId="0" fontId="0" fillId="0" borderId="2" xfId="0" applyBorder="1"/>
    <xf numFmtId="0" fontId="0" fillId="0" borderId="9" xfId="0" applyBorder="1"/>
    <xf numFmtId="0" fontId="0" fillId="0" borderId="1" xfId="0" applyFont="1" applyFill="1" applyBorder="1"/>
  </cellXfs>
  <cellStyles count="3">
    <cellStyle name="20% — акцент1" xfId="1" builtinId="30"/>
    <cellStyle name="40% — акцент4" xfId="2" builtinId="43"/>
    <cellStyle name="Обычный" xfId="0" builtinId="0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12700</xdr:colOff>
      <xdr:row>4</xdr:row>
      <xdr:rowOff>12700</xdr:rowOff>
    </xdr:from>
    <xdr:to>
      <xdr:col>9</xdr:col>
      <xdr:colOff>379921</xdr:colOff>
      <xdr:row>24</xdr:row>
      <xdr:rowOff>12700</xdr:rowOff>
    </xdr:to>
    <xdr:pic>
      <xdr:nvPicPr>
        <xdr:cNvPr id="25" name="_G5_autopaste">
          <a:extLst>
            <a:ext uri="{FF2B5EF4-FFF2-40B4-BE49-F238E27FC236}">
              <a16:creationId xmlns:a16="http://schemas.microsoft.com/office/drawing/2014/main" id="{AE752C5C-D371-081F-4D16-6DA61FA89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2200" y="803275"/>
          <a:ext cx="3824796" cy="381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1158240</xdr:colOff>
      <xdr:row>13</xdr:row>
      <xdr:rowOff>148590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632A4C3-FBB6-C975-BB23-FE2073A0DE3A}"/>
            </a:ext>
          </a:extLst>
        </xdr:cNvPr>
        <xdr:cNvSpPr txBox="1"/>
      </xdr:nvSpPr>
      <xdr:spPr>
        <a:xfrm>
          <a:off x="6629400" y="21602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C13F3A-C6C6-45CE-97CE-77E3E2BA1D0C}" name="Таблица5" displayName="Таблица5" ref="A1:G12" totalsRowShown="0">
  <autoFilter ref="A1:G12" xr:uid="{23C13F3A-C6C6-45CE-97CE-77E3E2BA1D0C}"/>
  <tableColumns count="7">
    <tableColumn id="1" xr3:uid="{56E22B14-F70D-4686-AD88-FEC2FE88CFD9}" name="Режим"/>
    <tableColumn id="2" xr3:uid="{46066924-29EF-45B9-A5A6-0386005EDB39}" name="16К20"/>
    <tableColumn id="3" xr3:uid="{F94C776F-A069-4091-AA37-0ED3A15F0AD0}" name="1М63"/>
    <tableColumn id="4" xr3:uid="{2F121EAF-33A2-4B27-95AF-A7BAB05DF206}" name="1М65"/>
    <tableColumn id="5" xr3:uid="{F94A387B-4865-4BAA-858F-6D1AFE568297}" name="Столбец5"/>
    <tableColumn id="6" xr3:uid="{D812808C-6321-4C05-AB3B-2D75AFFD2340}" name="Столбец6"/>
    <tableColumn id="7" xr3:uid="{5DA702E1-BBD5-47B7-8752-904267214453}" name="Столбец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46A726-65A2-49BD-98D6-370B8373BF34}" name="Таблица3" displayName="Таблица3" ref="A1:D29" totalsRowShown="0" headerRowDxfId="0" headerRowBorderDxfId="6" tableBorderDxfId="7" totalsRowBorderDxfId="5">
  <autoFilter ref="A1:D29" xr:uid="{7246A726-65A2-49BD-98D6-370B8373BF34}"/>
  <tableColumns count="4">
    <tableColumn id="1" xr3:uid="{F6EC1B31-9F14-4504-885A-8207FF9BE69D}" name="Средний диаметр" dataDxfId="4"/>
    <tableColumn id="2" xr3:uid="{23C2269F-3001-4E07-A71B-D40FBDA5078A}" name="16К20" dataDxfId="3"/>
    <tableColumn id="3" xr3:uid="{B483CED8-BF5F-4D87-9D80-5C5CCD658F74}" name="1М63" dataDxfId="2"/>
    <tableColumn id="4" xr3:uid="{33008AC1-E2CD-4F01-88D9-24794A3FD886}" name="1М65" dataDxfId="1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68053D-9E3E-4F61-B951-9702171ABDD9}" name="Таблица4" displayName="Таблица4" ref="A1:F19" totalsRowShown="0">
  <autoFilter ref="A1:F19" xr:uid="{B868053D-9E3E-4F61-B951-9702171ABDD9}"/>
  <tableColumns count="6">
    <tableColumn id="1" xr3:uid="{2D6771EB-26B6-403F-A605-8F2B40A17F73}" name="Фланец поворотный"/>
    <tableColumn id="2" xr3:uid="{8D925E49-15EE-43CA-BB17-02C5365453F9}" name="Фланец приварной ТНФ"/>
    <tableColumn id="3" xr3:uid="{8F99042C-E97E-46AF-A73B-F445870E9B7A}" name="Фланец приварной"/>
    <tableColumn id="4" xr3:uid="{34DB02F0-640A-4D72-A479-D78289CB6A0B}" name="Круг"/>
    <tableColumn id="5" xr3:uid="{2CA709DC-47B3-49AB-BBBD-3BEC91A6D5C3}" name="Фланец формующий"/>
    <tableColumn id="6" xr3:uid="{322C3CF0-C9FB-4524-BC82-73F56F36EADD}" name="Обечайка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9166EA-A7F8-40E5-9E1D-1CA44DE78BA4}" name="Таблица2" displayName="Таблица2" ref="A1:I19" totalsRowShown="0">
  <autoFilter ref="A1:I19" xr:uid="{709166EA-A7F8-40E5-9E1D-1CA44DE78BA4}"/>
  <tableColumns count="9">
    <tableColumn id="1" xr3:uid="{FF81718E-180A-462C-A860-7C7F9152C49B}" name="Фланец приварной ТНФ"/>
    <tableColumn id="2" xr3:uid="{C62AB877-EBD8-4379-BE5A-84DF5277D498}" name="Кольцо приварное"/>
    <tableColumn id="9" xr3:uid="{2A0299A2-42F7-4CA6-9BC6-E682D0391187}" name="Фланец приварной"/>
    <tableColumn id="3" xr3:uid="{6B7FF030-B329-4EA7-8AFD-E2B8A6B9F892}" name="Фланец поворотный"/>
    <tableColumn id="4" xr3:uid="{16C4E3F0-9712-4E87-830F-3BC96CE93612}" name="Фланец компенсатора"/>
    <tableColumn id="5" xr3:uid="{059E0DCA-F0C9-40A8-B7FD-6A11BB4EDCBF}" name="Фланец формующий"/>
    <tableColumn id="6" xr3:uid="{D0AC55F8-9E3B-4D8B-8E9B-531482046AEB}" name="Обечайка"/>
    <tableColumn id="7" xr3:uid="{16240362-3963-4DFA-B0CF-2E5686361573}" name="Круг"/>
    <tableColumn id="8" xr3:uid="{A58C3DFF-85C5-411D-9310-12E7CE1500B1}" name="Фланец переходной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85E670-F587-492A-B3B2-C9A881145F5B}" name="Таблица1" displayName="Таблица1" ref="A1:A10" totalsRowShown="0">
  <autoFilter ref="A1:A10" xr:uid="{1285E670-F587-492A-B3B2-C9A881145F5B}"/>
  <sortState xmlns:xlrd2="http://schemas.microsoft.com/office/spreadsheetml/2017/richdata2" ref="A2:A10">
    <sortCondition ref="A2:A10"/>
  </sortState>
  <tableColumns count="1">
    <tableColumn id="1" xr3:uid="{60654018-A894-46B6-9EDD-A5ED8BC108D8}" name="Тип изделия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FA6C7-5793-4744-A0F6-19DA2BB6D997}">
  <sheetPr codeName="Лист1"/>
  <dimension ref="A1:X272"/>
  <sheetViews>
    <sheetView zoomScale="130" zoomScaleNormal="130" workbookViewId="0">
      <selection activeCell="B18" sqref="B18"/>
    </sheetView>
  </sheetViews>
  <sheetFormatPr defaultRowHeight="15" x14ac:dyDescent="0.25"/>
  <cols>
    <col min="1" max="1" width="38.28515625" customWidth="1"/>
    <col min="2" max="2" width="19.28515625" customWidth="1"/>
    <col min="3" max="3" width="3.85546875" customWidth="1"/>
    <col min="4" max="4" width="26.42578125" customWidth="1"/>
    <col min="5" max="5" width="12.7109375" customWidth="1"/>
    <col min="6" max="6" width="10.85546875" style="16" customWidth="1"/>
    <col min="7" max="7" width="10.5703125" style="16" customWidth="1"/>
    <col min="8" max="8" width="18.42578125" style="16" customWidth="1"/>
    <col min="9" max="9" width="22.85546875" style="16" customWidth="1"/>
    <col min="10" max="24" width="9.140625" style="16"/>
  </cols>
  <sheetData>
    <row r="1" spans="1:24" ht="15.75" customHeight="1" x14ac:dyDescent="0.25">
      <c r="D1" s="7" t="s">
        <v>112</v>
      </c>
      <c r="E1" s="22" t="str">
        <f>'Получение данных для расчета'!B53</f>
        <v>1М63</v>
      </c>
      <c r="F1" s="20"/>
      <c r="G1" s="21"/>
    </row>
    <row r="2" spans="1:24" ht="16.5" customHeight="1" x14ac:dyDescent="0.25">
      <c r="D2" s="18" t="s">
        <v>110</v>
      </c>
      <c r="E2" s="19">
        <f>('Получение данных для расчета'!B73+'Получение данных для расчета'!B74+'Получение данных для расчета'!B75+'Получение данных для расчета'!B76+'Получение данных для расчета'!B77)*60*1.3</f>
        <v>310.9005426297677</v>
      </c>
      <c r="F2" s="23" t="s">
        <v>111</v>
      </c>
    </row>
    <row r="3" spans="1:24" x14ac:dyDescent="0.25">
      <c r="A3" s="5" t="s">
        <v>0</v>
      </c>
      <c r="B3" s="24" t="s">
        <v>2</v>
      </c>
      <c r="C3" s="24"/>
      <c r="D3" s="17"/>
      <c r="E3" s="17"/>
    </row>
    <row r="4" spans="1:24" s="1" customFormat="1" x14ac:dyDescent="0.25">
      <c r="A4" s="13" t="s">
        <v>11</v>
      </c>
      <c r="B4" s="13"/>
      <c r="C4" s="13"/>
      <c r="D4" s="13" t="s">
        <v>10</v>
      </c>
      <c r="E4" s="13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</row>
    <row r="5" spans="1:24" x14ac:dyDescent="0.25">
      <c r="A5" s="14" t="str">
        <f>INDEX(Таблица2[],ROW()-4,MATCH($B$3,'Параметры изделий'!$1:$1,0))</f>
        <v>Внешний диметр (D)</v>
      </c>
      <c r="B5" s="15">
        <v>487</v>
      </c>
      <c r="C5" s="12"/>
      <c r="D5" s="14" t="str">
        <f>INDEX(Таблица4[],ROW()-4,MATCH($B$3,'Параметры заготовки'!$1:$1,0))</f>
        <v>Внешний диаметр (D1)</v>
      </c>
      <c r="E5" s="12">
        <v>487</v>
      </c>
      <c r="G5" s="25"/>
      <c r="H5" s="25"/>
      <c r="I5" s="25"/>
      <c r="J5" s="25"/>
      <c r="K5" s="25"/>
    </row>
    <row r="6" spans="1:24" x14ac:dyDescent="0.25">
      <c r="A6" s="14" t="str">
        <f>INDEX(Таблица2[],ROW()-4,MATCH($B$3,'Параметры изделий'!$1:$1,0))</f>
        <v>Внутренний диаметр (d)</v>
      </c>
      <c r="B6" s="15">
        <v>445</v>
      </c>
      <c r="C6" s="12"/>
      <c r="D6" s="14" t="str">
        <f>INDEX(Таблица4[],ROW()-4,MATCH($B$3,'Параметры заготовки'!$1:$1,0))</f>
        <v>Внутренний диаметр (D2)</v>
      </c>
      <c r="E6" s="12">
        <v>435</v>
      </c>
      <c r="G6" s="25"/>
      <c r="H6" s="25"/>
      <c r="I6" s="25"/>
      <c r="J6" s="25"/>
      <c r="K6" s="25"/>
    </row>
    <row r="7" spans="1:24" x14ac:dyDescent="0.25">
      <c r="A7" s="14" t="str">
        <f>INDEX(Таблица2[],ROW()-4,MATCH($B$3,'Параметры изделий'!$1:$1,0))</f>
        <v>Габарит детали (t)</v>
      </c>
      <c r="B7" s="15">
        <v>30</v>
      </c>
      <c r="C7" s="12"/>
      <c r="D7" s="14" t="str">
        <f>INDEX(Таблица4[],ROW()-4,MATCH($B$3,'Параметры заготовки'!$1:$1,0))</f>
        <v>Толщина листа (S)</v>
      </c>
      <c r="E7" s="12">
        <v>33</v>
      </c>
      <c r="G7" s="25"/>
      <c r="H7" s="25"/>
      <c r="I7" s="25"/>
      <c r="J7" s="25"/>
      <c r="K7" s="25"/>
    </row>
    <row r="8" spans="1:24" x14ac:dyDescent="0.25">
      <c r="A8" s="14" t="str">
        <f>INDEX(Таблица2[],ROW()-4,MATCH($B$3,'Параметры изделий'!$1:$1,0))</f>
        <v>Диаметр проточки (DM)</v>
      </c>
      <c r="B8" s="15">
        <v>0</v>
      </c>
      <c r="C8" s="12"/>
      <c r="D8" s="14">
        <f>INDEX(Таблица4[],ROW()-4,MATCH($B$3,'Параметры заготовки'!$1:$1,0))</f>
        <v>0</v>
      </c>
      <c r="E8" s="12"/>
      <c r="G8" s="25"/>
      <c r="H8" s="25"/>
      <c r="I8" s="25"/>
      <c r="J8" s="25"/>
      <c r="K8" s="25"/>
    </row>
    <row r="9" spans="1:24" x14ac:dyDescent="0.25">
      <c r="A9" s="14" t="str">
        <f>INDEX(Таблица2[],ROW()-4,MATCH($B$3,'Параметры изделий'!$1:$1,0))</f>
        <v>Глубина проточки (a)</v>
      </c>
      <c r="B9" s="15">
        <v>0</v>
      </c>
      <c r="C9" s="12"/>
      <c r="D9" s="14">
        <f>INDEX(Таблица4[],ROW()-4,MATCH($B$3,'Параметры заготовки'!$1:$1,0))</f>
        <v>0</v>
      </c>
      <c r="E9" s="12"/>
      <c r="G9" s="25"/>
      <c r="H9" s="25"/>
      <c r="I9" s="25"/>
      <c r="J9" s="25"/>
      <c r="K9" s="25"/>
    </row>
    <row r="10" spans="1:24" x14ac:dyDescent="0.25">
      <c r="A10" s="14" t="str">
        <f>INDEX(Таблица2[],ROW()-4,MATCH($B$3,'Параметры изделий'!$1:$1,0))</f>
        <v>Диаметр 2-ой проточки (Dw)</v>
      </c>
      <c r="B10" s="15">
        <v>465</v>
      </c>
      <c r="C10" s="12"/>
      <c r="D10" s="14">
        <f>INDEX(Таблица4[],ROW()-4,MATCH($B$3,'Параметры заготовки'!$1:$1,0))</f>
        <v>0</v>
      </c>
      <c r="E10" s="12"/>
      <c r="G10" s="25"/>
      <c r="H10" s="25"/>
      <c r="I10" s="25"/>
      <c r="J10" s="25"/>
      <c r="K10" s="25"/>
    </row>
    <row r="11" spans="1:24" x14ac:dyDescent="0.25">
      <c r="A11" s="14" t="str">
        <f>INDEX(Таблица2[],ROW()-4,MATCH($B$3,'Параметры изделий'!$1:$1,0))</f>
        <v>Глубина 2-ой проточки (b)</v>
      </c>
      <c r="B11" s="15">
        <v>20</v>
      </c>
      <c r="C11" s="12"/>
      <c r="D11" s="14">
        <f>INDEX(Таблица4[],ROW()-4,MATCH($B$3,'Параметры заготовки'!$1:$1,0))</f>
        <v>0</v>
      </c>
      <c r="E11" s="12"/>
      <c r="G11" s="25"/>
      <c r="H11" s="25"/>
      <c r="I11" s="25"/>
      <c r="J11" s="25"/>
      <c r="K11" s="25"/>
    </row>
    <row r="12" spans="1:24" x14ac:dyDescent="0.25">
      <c r="A12" s="14" t="str">
        <f>INDEX(Таблица2[],ROW()-4,MATCH($B$3,'Параметры изделий'!$1:$1,0))</f>
        <v>Размер фаски 1 (ch1)</v>
      </c>
      <c r="B12" s="15">
        <v>3</v>
      </c>
      <c r="C12" s="12"/>
      <c r="D12" s="14">
        <f>INDEX(Таблица4[],ROW()-4,MATCH($B$3,'Параметры заготовки'!$1:$1,0))</f>
        <v>0</v>
      </c>
      <c r="E12" s="12"/>
      <c r="G12" s="25"/>
      <c r="H12" s="25"/>
      <c r="I12" s="25"/>
      <c r="J12" s="25"/>
      <c r="K12" s="25"/>
    </row>
    <row r="13" spans="1:24" x14ac:dyDescent="0.25">
      <c r="A13" s="14" t="str">
        <f>INDEX(Таблица2[],ROW()-4,MATCH($B$3,'Параметры изделий'!$1:$1,0))</f>
        <v>Угол фаски (ch1)</v>
      </c>
      <c r="B13" s="15">
        <v>45</v>
      </c>
      <c r="C13" s="12"/>
      <c r="D13" s="14">
        <f>INDEX(Таблица4[],ROW()-4,MATCH($B$3,'Параметры заготовки'!$1:$1,0))</f>
        <v>0</v>
      </c>
      <c r="E13" s="12"/>
      <c r="G13" s="25"/>
      <c r="H13" s="25"/>
      <c r="I13" s="25"/>
      <c r="J13" s="25"/>
      <c r="K13" s="25"/>
    </row>
    <row r="14" spans="1:24" x14ac:dyDescent="0.25">
      <c r="A14" s="14" t="str">
        <f>INDEX(Таблица2[],ROW()-4,MATCH($B$3,'Параметры изделий'!$1:$1,0))</f>
        <v>Размер фаски 2 (ch2)</v>
      </c>
      <c r="B14" s="15">
        <v>3</v>
      </c>
      <c r="C14" s="12"/>
      <c r="D14" s="14">
        <f>INDEX(Таблица4[],ROW()-4,MATCH($B$3,'Параметры заготовки'!$1:$1,0))</f>
        <v>0</v>
      </c>
      <c r="E14" s="12"/>
      <c r="G14" s="25"/>
      <c r="H14" s="25"/>
      <c r="I14" s="25"/>
      <c r="J14" s="25"/>
      <c r="K14" s="25"/>
    </row>
    <row r="15" spans="1:24" x14ac:dyDescent="0.25">
      <c r="A15" s="14" t="str">
        <f>INDEX(Таблица2[],ROW()-4,MATCH($B$3,'Параметры изделий'!$1:$1,0))</f>
        <v>Угол фаски (ch2)</v>
      </c>
      <c r="B15" s="15">
        <v>45</v>
      </c>
      <c r="C15" s="12"/>
      <c r="D15" s="14">
        <f>INDEX(Таблица4[],ROW()-4,MATCH($B$3,'Параметры заготовки'!$1:$1,0))</f>
        <v>0</v>
      </c>
      <c r="E15" s="12"/>
      <c r="G15" s="25"/>
      <c r="H15" s="25"/>
      <c r="I15" s="25"/>
      <c r="J15" s="25"/>
      <c r="K15" s="25"/>
    </row>
    <row r="16" spans="1:24" x14ac:dyDescent="0.25">
      <c r="A16" s="14" t="str">
        <f>INDEX(Таблица2[],ROW()-4,MATCH($B$3,'Параметры изделий'!$1:$1,0))</f>
        <v>Размер фаски 3 (ch3)</v>
      </c>
      <c r="B16" s="15">
        <v>3</v>
      </c>
      <c r="C16" s="12"/>
      <c r="D16" s="14">
        <f>INDEX(Таблица4[],ROW()-4,MATCH($B$3,'Параметры заготовки'!$1:$1,0))</f>
        <v>0</v>
      </c>
      <c r="E16" s="12"/>
      <c r="G16" s="25"/>
      <c r="H16" s="25"/>
      <c r="I16" s="25"/>
      <c r="J16" s="25"/>
      <c r="K16" s="25"/>
    </row>
    <row r="17" spans="1:11" x14ac:dyDescent="0.25">
      <c r="A17" s="14" t="str">
        <f>INDEX(Таблица2[],ROW()-4,MATCH($B$3,'Параметры изделий'!$1:$1,0))</f>
        <v>Угол фаски (ch3)</v>
      </c>
      <c r="B17" s="15">
        <v>45</v>
      </c>
      <c r="C17" s="12"/>
      <c r="D17" s="14">
        <f>INDEX(Таблица4[],ROW()-4,MATCH($B$3,'Параметры заготовки'!$1:$1,0))</f>
        <v>0</v>
      </c>
      <c r="E17" s="12"/>
      <c r="G17" s="25"/>
      <c r="H17" s="25"/>
      <c r="I17" s="25"/>
      <c r="J17" s="25"/>
      <c r="K17" s="25"/>
    </row>
    <row r="18" spans="1:11" x14ac:dyDescent="0.25">
      <c r="A18" s="14">
        <f>INDEX(Таблица2[],ROW()-4,MATCH($B$3,'Параметры изделий'!$1:$1,0))</f>
        <v>0</v>
      </c>
      <c r="B18" s="15"/>
      <c r="C18" s="12"/>
      <c r="D18" s="14">
        <f>INDEX(Таблица4[],ROW()-4,MATCH($B$3,'Параметры заготовки'!$1:$1,0))</f>
        <v>0</v>
      </c>
      <c r="E18" s="12"/>
      <c r="G18" s="25"/>
      <c r="H18" s="25"/>
      <c r="I18" s="25"/>
      <c r="J18" s="25"/>
      <c r="K18" s="25"/>
    </row>
    <row r="19" spans="1:11" x14ac:dyDescent="0.25">
      <c r="A19" s="14">
        <f>INDEX(Таблица2[],ROW()-4,MATCH($B$3,'Параметры изделий'!$1:$1,0))</f>
        <v>0</v>
      </c>
      <c r="B19" s="15"/>
      <c r="C19" s="12"/>
      <c r="D19" s="14">
        <f>INDEX(Таблица4[],ROW()-4,MATCH($B$3,'Параметры заготовки'!$1:$1,0))</f>
        <v>0</v>
      </c>
      <c r="E19" s="12"/>
      <c r="G19" s="25"/>
      <c r="H19" s="25"/>
      <c r="I19" s="25"/>
      <c r="J19" s="25"/>
      <c r="K19" s="25"/>
    </row>
    <row r="20" spans="1:11" x14ac:dyDescent="0.25">
      <c r="A20" s="14">
        <f>INDEX(Таблица2[],ROW()-4,MATCH($B$3,'Параметры изделий'!$1:$1,0))</f>
        <v>0</v>
      </c>
      <c r="B20" s="15"/>
      <c r="C20" s="12"/>
      <c r="D20" s="14">
        <f>INDEX(Таблица4[],ROW()-4,MATCH($B$3,'Параметры заготовки'!$1:$1,0))</f>
        <v>0</v>
      </c>
      <c r="E20" s="12"/>
      <c r="G20" s="25"/>
      <c r="H20" s="25"/>
      <c r="I20" s="25"/>
      <c r="J20" s="25"/>
      <c r="K20" s="25"/>
    </row>
    <row r="21" spans="1:11" x14ac:dyDescent="0.25">
      <c r="A21" s="14">
        <f>INDEX(Таблица2[],ROW()-4,MATCH($B$3,'Параметры изделий'!$1:$1,0))</f>
        <v>0</v>
      </c>
      <c r="B21" s="15"/>
      <c r="C21" s="12"/>
      <c r="D21" s="14">
        <f>INDEX(Таблица4[],ROW()-4,MATCH($B$3,'Параметры заготовки'!$1:$1,0))</f>
        <v>0</v>
      </c>
      <c r="E21" s="12"/>
      <c r="G21" s="25"/>
      <c r="H21" s="25"/>
      <c r="I21" s="25"/>
      <c r="J21" s="25"/>
      <c r="K21" s="25"/>
    </row>
    <row r="22" spans="1:11" x14ac:dyDescent="0.25">
      <c r="A22" s="14">
        <f>INDEX(Таблица2[],ROW()-4,MATCH($B$3,'Параметры изделий'!$1:$1,0))</f>
        <v>0</v>
      </c>
      <c r="B22" s="15"/>
      <c r="C22" s="12"/>
      <c r="D22" s="14">
        <f>INDEX(Таблица4[],ROW()-4,MATCH($B$3,'Параметры заготовки'!$1:$1,0))</f>
        <v>0</v>
      </c>
      <c r="E22" s="12"/>
      <c r="G22" s="25"/>
      <c r="H22" s="25"/>
      <c r="I22" s="25"/>
      <c r="J22" s="25"/>
      <c r="K22" s="25"/>
    </row>
    <row r="23" spans="1:11" s="16" customFormat="1" x14ac:dyDescent="0.25"/>
    <row r="24" spans="1:11" s="16" customFormat="1" x14ac:dyDescent="0.25"/>
    <row r="25" spans="1:11" s="16" customFormat="1" x14ac:dyDescent="0.25"/>
    <row r="26" spans="1:11" s="16" customFormat="1" x14ac:dyDescent="0.25"/>
    <row r="27" spans="1:11" s="16" customFormat="1" x14ac:dyDescent="0.25"/>
    <row r="28" spans="1:11" s="16" customFormat="1" x14ac:dyDescent="0.25"/>
    <row r="29" spans="1:11" s="16" customFormat="1" x14ac:dyDescent="0.25"/>
    <row r="30" spans="1:11" s="16" customFormat="1" x14ac:dyDescent="0.25"/>
    <row r="31" spans="1:11" s="16" customFormat="1" x14ac:dyDescent="0.25"/>
    <row r="32" spans="1:11" s="16" customFormat="1" x14ac:dyDescent="0.25"/>
    <row r="33" s="16" customFormat="1" x14ac:dyDescent="0.25"/>
    <row r="34" s="16" customFormat="1" x14ac:dyDescent="0.25"/>
    <row r="35" s="16" customFormat="1" x14ac:dyDescent="0.25"/>
    <row r="36" s="16" customFormat="1" x14ac:dyDescent="0.25"/>
    <row r="37" s="16" customFormat="1" x14ac:dyDescent="0.25"/>
    <row r="38" s="16" customFormat="1" x14ac:dyDescent="0.25"/>
    <row r="39" s="16" customFormat="1" x14ac:dyDescent="0.25"/>
    <row r="40" s="16" customFormat="1" x14ac:dyDescent="0.25"/>
    <row r="41" s="16" customFormat="1" x14ac:dyDescent="0.25"/>
    <row r="42" s="16" customFormat="1" x14ac:dyDescent="0.25"/>
    <row r="43" s="16" customFormat="1" x14ac:dyDescent="0.25"/>
    <row r="44" s="16" customFormat="1" x14ac:dyDescent="0.25"/>
    <row r="45" s="16" customFormat="1" x14ac:dyDescent="0.25"/>
    <row r="46" s="16" customFormat="1" x14ac:dyDescent="0.25"/>
    <row r="47" s="16" customFormat="1" x14ac:dyDescent="0.25"/>
    <row r="48" s="16" customFormat="1" x14ac:dyDescent="0.25"/>
    <row r="49" s="16" customFormat="1" x14ac:dyDescent="0.25"/>
    <row r="50" s="16" customFormat="1" x14ac:dyDescent="0.25"/>
    <row r="51" s="16" customFormat="1" x14ac:dyDescent="0.25"/>
    <row r="52" s="16" customFormat="1" x14ac:dyDescent="0.25"/>
    <row r="53" s="16" customFormat="1" x14ac:dyDescent="0.25"/>
    <row r="54" s="16" customFormat="1" x14ac:dyDescent="0.25"/>
    <row r="55" s="16" customFormat="1" x14ac:dyDescent="0.25"/>
    <row r="56" s="16" customFormat="1" x14ac:dyDescent="0.25"/>
    <row r="57" s="16" customFormat="1" x14ac:dyDescent="0.25"/>
    <row r="58" s="16" customFormat="1" x14ac:dyDescent="0.25"/>
    <row r="59" s="16" customFormat="1" x14ac:dyDescent="0.25"/>
    <row r="60" s="16" customFormat="1" x14ac:dyDescent="0.25"/>
    <row r="61" s="16" customFormat="1" x14ac:dyDescent="0.25"/>
    <row r="62" s="16" customFormat="1" x14ac:dyDescent="0.25"/>
    <row r="63" s="16" customFormat="1" x14ac:dyDescent="0.25"/>
    <row r="64" s="16" customFormat="1" x14ac:dyDescent="0.25"/>
    <row r="65" s="16" customFormat="1" x14ac:dyDescent="0.25"/>
    <row r="66" s="16" customFormat="1" x14ac:dyDescent="0.25"/>
    <row r="67" s="16" customFormat="1" x14ac:dyDescent="0.25"/>
    <row r="68" s="16" customFormat="1" x14ac:dyDescent="0.25"/>
    <row r="69" s="16" customFormat="1" x14ac:dyDescent="0.25"/>
    <row r="70" s="16" customFormat="1" x14ac:dyDescent="0.25"/>
    <row r="71" s="16" customFormat="1" x14ac:dyDescent="0.25"/>
    <row r="72" s="16" customFormat="1" x14ac:dyDescent="0.25"/>
    <row r="73" s="16" customFormat="1" x14ac:dyDescent="0.25"/>
    <row r="74" s="16" customFormat="1" x14ac:dyDescent="0.25"/>
    <row r="75" s="16" customFormat="1" x14ac:dyDescent="0.25"/>
    <row r="76" s="16" customFormat="1" x14ac:dyDescent="0.25"/>
    <row r="77" s="16" customFormat="1" x14ac:dyDescent="0.25"/>
    <row r="78" s="16" customFormat="1" x14ac:dyDescent="0.25"/>
    <row r="79" s="16" customFormat="1" x14ac:dyDescent="0.25"/>
    <row r="80" s="16" customFormat="1" x14ac:dyDescent="0.25"/>
    <row r="81" s="16" customFormat="1" x14ac:dyDescent="0.25"/>
    <row r="82" s="16" customFormat="1" x14ac:dyDescent="0.25"/>
    <row r="83" s="16" customFormat="1" x14ac:dyDescent="0.25"/>
    <row r="84" s="16" customFormat="1" x14ac:dyDescent="0.25"/>
    <row r="85" s="16" customFormat="1" x14ac:dyDescent="0.25"/>
    <row r="86" s="16" customFormat="1" x14ac:dyDescent="0.25"/>
    <row r="87" s="16" customFormat="1" x14ac:dyDescent="0.25"/>
    <row r="88" s="16" customFormat="1" x14ac:dyDescent="0.25"/>
    <row r="89" s="16" customFormat="1" x14ac:dyDescent="0.25"/>
    <row r="90" s="16" customFormat="1" x14ac:dyDescent="0.25"/>
    <row r="91" s="16" customFormat="1" x14ac:dyDescent="0.25"/>
    <row r="92" s="16" customFormat="1" x14ac:dyDescent="0.25"/>
    <row r="93" s="16" customFormat="1" x14ac:dyDescent="0.25"/>
    <row r="94" s="16" customFormat="1" x14ac:dyDescent="0.25"/>
    <row r="95" s="16" customFormat="1" x14ac:dyDescent="0.25"/>
    <row r="96" s="16" customFormat="1" x14ac:dyDescent="0.25"/>
    <row r="97" s="16" customFormat="1" x14ac:dyDescent="0.25"/>
    <row r="98" s="16" customFormat="1" x14ac:dyDescent="0.25"/>
    <row r="99" s="16" customFormat="1" x14ac:dyDescent="0.25"/>
    <row r="100" s="16" customFormat="1" x14ac:dyDescent="0.25"/>
    <row r="101" s="16" customFormat="1" x14ac:dyDescent="0.25"/>
    <row r="102" s="16" customFormat="1" x14ac:dyDescent="0.25"/>
    <row r="103" s="16" customFormat="1" x14ac:dyDescent="0.25"/>
    <row r="104" s="16" customFormat="1" x14ac:dyDescent="0.25"/>
    <row r="105" s="16" customFormat="1" x14ac:dyDescent="0.25"/>
    <row r="106" s="16" customFormat="1" x14ac:dyDescent="0.25"/>
    <row r="107" s="16" customFormat="1" x14ac:dyDescent="0.25"/>
    <row r="108" s="16" customFormat="1" x14ac:dyDescent="0.25"/>
    <row r="109" s="16" customFormat="1" x14ac:dyDescent="0.25"/>
    <row r="110" s="16" customFormat="1" x14ac:dyDescent="0.25"/>
    <row r="111" s="16" customFormat="1" x14ac:dyDescent="0.25"/>
    <row r="112" s="16" customFormat="1" x14ac:dyDescent="0.25"/>
    <row r="113" s="16" customFormat="1" x14ac:dyDescent="0.25"/>
    <row r="114" s="16" customFormat="1" x14ac:dyDescent="0.25"/>
    <row r="115" s="16" customFormat="1" x14ac:dyDescent="0.25"/>
    <row r="116" s="16" customFormat="1" x14ac:dyDescent="0.25"/>
    <row r="117" s="16" customFormat="1" x14ac:dyDescent="0.25"/>
    <row r="118" s="16" customFormat="1" x14ac:dyDescent="0.25"/>
    <row r="119" s="16" customFormat="1" x14ac:dyDescent="0.25"/>
    <row r="120" s="16" customFormat="1" x14ac:dyDescent="0.25"/>
    <row r="121" s="16" customFormat="1" x14ac:dyDescent="0.25"/>
    <row r="122" s="16" customFormat="1" x14ac:dyDescent="0.25"/>
    <row r="123" s="16" customFormat="1" x14ac:dyDescent="0.25"/>
    <row r="124" s="16" customFormat="1" x14ac:dyDescent="0.25"/>
    <row r="125" s="16" customFormat="1" x14ac:dyDescent="0.25"/>
    <row r="126" s="16" customFormat="1" x14ac:dyDescent="0.25"/>
    <row r="127" s="16" customFormat="1" x14ac:dyDescent="0.25"/>
    <row r="128" s="16" customFormat="1" x14ac:dyDescent="0.25"/>
    <row r="129" s="16" customFormat="1" x14ac:dyDescent="0.25"/>
    <row r="130" s="16" customFormat="1" x14ac:dyDescent="0.25"/>
    <row r="131" s="16" customFormat="1" x14ac:dyDescent="0.25"/>
    <row r="132" s="16" customFormat="1" x14ac:dyDescent="0.25"/>
    <row r="133" s="16" customFormat="1" x14ac:dyDescent="0.25"/>
    <row r="134" s="16" customFormat="1" x14ac:dyDescent="0.25"/>
    <row r="135" s="16" customFormat="1" x14ac:dyDescent="0.25"/>
    <row r="136" s="16" customFormat="1" x14ac:dyDescent="0.25"/>
    <row r="137" s="16" customFormat="1" x14ac:dyDescent="0.25"/>
    <row r="138" s="16" customFormat="1" x14ac:dyDescent="0.25"/>
    <row r="139" s="16" customFormat="1" x14ac:dyDescent="0.25"/>
    <row r="140" s="16" customFormat="1" x14ac:dyDescent="0.25"/>
    <row r="141" s="16" customFormat="1" x14ac:dyDescent="0.25"/>
    <row r="142" s="16" customFormat="1" x14ac:dyDescent="0.25"/>
    <row r="143" s="16" customFormat="1" x14ac:dyDescent="0.25"/>
    <row r="144" s="16" customFormat="1" x14ac:dyDescent="0.25"/>
    <row r="145" s="16" customFormat="1" x14ac:dyDescent="0.25"/>
    <row r="146" s="16" customFormat="1" x14ac:dyDescent="0.25"/>
    <row r="147" s="16" customFormat="1" x14ac:dyDescent="0.25"/>
    <row r="148" s="16" customFormat="1" x14ac:dyDescent="0.25"/>
    <row r="149" s="16" customFormat="1" x14ac:dyDescent="0.25"/>
    <row r="150" s="16" customFormat="1" x14ac:dyDescent="0.25"/>
    <row r="151" s="16" customFormat="1" x14ac:dyDescent="0.25"/>
    <row r="152" s="16" customFormat="1" x14ac:dyDescent="0.25"/>
    <row r="153" s="16" customFormat="1" x14ac:dyDescent="0.25"/>
    <row r="154" s="16" customFormat="1" x14ac:dyDescent="0.25"/>
    <row r="155" s="16" customFormat="1" x14ac:dyDescent="0.25"/>
    <row r="156" s="16" customFormat="1" x14ac:dyDescent="0.25"/>
    <row r="157" s="16" customFormat="1" x14ac:dyDescent="0.25"/>
    <row r="158" s="16" customFormat="1" x14ac:dyDescent="0.25"/>
    <row r="159" s="16" customFormat="1" x14ac:dyDescent="0.25"/>
    <row r="160" s="16" customFormat="1" x14ac:dyDescent="0.25"/>
    <row r="161" s="16" customFormat="1" x14ac:dyDescent="0.25"/>
    <row r="162" s="16" customFormat="1" x14ac:dyDescent="0.25"/>
    <row r="163" s="16" customFormat="1" x14ac:dyDescent="0.25"/>
    <row r="164" s="16" customFormat="1" x14ac:dyDescent="0.25"/>
    <row r="165" s="16" customFormat="1" x14ac:dyDescent="0.25"/>
    <row r="166" s="16" customFormat="1" x14ac:dyDescent="0.25"/>
    <row r="167" s="16" customFormat="1" x14ac:dyDescent="0.25"/>
    <row r="168" s="16" customFormat="1" x14ac:dyDescent="0.25"/>
    <row r="169" s="16" customFormat="1" x14ac:dyDescent="0.25"/>
    <row r="170" s="16" customFormat="1" x14ac:dyDescent="0.25"/>
    <row r="171" s="16" customFormat="1" x14ac:dyDescent="0.25"/>
    <row r="172" s="16" customFormat="1" x14ac:dyDescent="0.25"/>
    <row r="173" s="16" customFormat="1" x14ac:dyDescent="0.25"/>
    <row r="174" s="16" customFormat="1" x14ac:dyDescent="0.25"/>
    <row r="175" s="16" customFormat="1" x14ac:dyDescent="0.25"/>
    <row r="176" s="16" customFormat="1" x14ac:dyDescent="0.25"/>
    <row r="177" s="16" customFormat="1" x14ac:dyDescent="0.25"/>
    <row r="178" s="16" customFormat="1" x14ac:dyDescent="0.25"/>
    <row r="179" s="16" customFormat="1" x14ac:dyDescent="0.25"/>
    <row r="180" s="16" customFormat="1" x14ac:dyDescent="0.25"/>
    <row r="181" s="16" customFormat="1" x14ac:dyDescent="0.25"/>
    <row r="182" s="16" customFormat="1" x14ac:dyDescent="0.25"/>
    <row r="183" s="16" customFormat="1" x14ac:dyDescent="0.25"/>
    <row r="184" s="16" customFormat="1" x14ac:dyDescent="0.25"/>
    <row r="185" s="16" customFormat="1" x14ac:dyDescent="0.25"/>
    <row r="186" s="16" customFormat="1" x14ac:dyDescent="0.25"/>
    <row r="187" s="16" customFormat="1" x14ac:dyDescent="0.25"/>
    <row r="188" s="16" customFormat="1" x14ac:dyDescent="0.25"/>
    <row r="189" s="16" customFormat="1" x14ac:dyDescent="0.25"/>
    <row r="190" s="16" customFormat="1" x14ac:dyDescent="0.25"/>
    <row r="191" s="16" customFormat="1" x14ac:dyDescent="0.25"/>
    <row r="192" s="16" customFormat="1" x14ac:dyDescent="0.25"/>
    <row r="193" s="16" customFormat="1" x14ac:dyDescent="0.25"/>
    <row r="194" s="16" customFormat="1" x14ac:dyDescent="0.25"/>
    <row r="195" s="16" customFormat="1" x14ac:dyDescent="0.25"/>
    <row r="196" s="16" customFormat="1" x14ac:dyDescent="0.25"/>
    <row r="197" s="16" customFormat="1" x14ac:dyDescent="0.25"/>
    <row r="198" s="16" customFormat="1" x14ac:dyDescent="0.25"/>
    <row r="199" s="16" customFormat="1" x14ac:dyDescent="0.25"/>
    <row r="200" s="16" customFormat="1" x14ac:dyDescent="0.25"/>
    <row r="201" s="16" customFormat="1" x14ac:dyDescent="0.25"/>
    <row r="202" s="16" customFormat="1" x14ac:dyDescent="0.25"/>
    <row r="203" s="16" customFormat="1" x14ac:dyDescent="0.25"/>
    <row r="204" s="16" customFormat="1" x14ac:dyDescent="0.25"/>
    <row r="205" s="16" customFormat="1" x14ac:dyDescent="0.25"/>
    <row r="206" s="16" customFormat="1" x14ac:dyDescent="0.25"/>
    <row r="207" s="16" customFormat="1" x14ac:dyDescent="0.25"/>
    <row r="208" s="16" customFormat="1" x14ac:dyDescent="0.25"/>
    <row r="209" s="16" customFormat="1" x14ac:dyDescent="0.25"/>
    <row r="210" s="16" customFormat="1" x14ac:dyDescent="0.25"/>
    <row r="211" s="16" customFormat="1" x14ac:dyDescent="0.25"/>
    <row r="212" s="16" customFormat="1" x14ac:dyDescent="0.25"/>
    <row r="213" s="16" customFormat="1" x14ac:dyDescent="0.25"/>
    <row r="214" s="16" customFormat="1" x14ac:dyDescent="0.25"/>
    <row r="215" s="16" customFormat="1" x14ac:dyDescent="0.25"/>
    <row r="216" s="16" customFormat="1" x14ac:dyDescent="0.25"/>
    <row r="217" s="16" customFormat="1" x14ac:dyDescent="0.25"/>
    <row r="218" s="16" customFormat="1" x14ac:dyDescent="0.25"/>
    <row r="219" s="16" customFormat="1" x14ac:dyDescent="0.25"/>
    <row r="220" s="16" customFormat="1" x14ac:dyDescent="0.25"/>
    <row r="221" s="16" customFormat="1" x14ac:dyDescent="0.25"/>
    <row r="222" s="16" customFormat="1" x14ac:dyDescent="0.25"/>
    <row r="223" s="16" customFormat="1" x14ac:dyDescent="0.25"/>
    <row r="224" s="16" customFormat="1" x14ac:dyDescent="0.25"/>
    <row r="225" s="16" customFormat="1" x14ac:dyDescent="0.25"/>
    <row r="226" s="16" customFormat="1" x14ac:dyDescent="0.25"/>
    <row r="227" s="16" customFormat="1" x14ac:dyDescent="0.25"/>
    <row r="228" s="16" customFormat="1" x14ac:dyDescent="0.25"/>
    <row r="229" s="16" customFormat="1" x14ac:dyDescent="0.25"/>
    <row r="230" s="16" customFormat="1" x14ac:dyDescent="0.25"/>
    <row r="231" s="16" customFormat="1" x14ac:dyDescent="0.25"/>
    <row r="232" s="16" customFormat="1" x14ac:dyDescent="0.25"/>
    <row r="233" s="16" customFormat="1" x14ac:dyDescent="0.25"/>
    <row r="234" s="16" customFormat="1" x14ac:dyDescent="0.25"/>
    <row r="235" s="16" customFormat="1" x14ac:dyDescent="0.25"/>
    <row r="236" s="16" customFormat="1" x14ac:dyDescent="0.25"/>
    <row r="237" s="16" customFormat="1" x14ac:dyDescent="0.25"/>
    <row r="238" s="16" customFormat="1" x14ac:dyDescent="0.25"/>
    <row r="239" s="16" customFormat="1" x14ac:dyDescent="0.25"/>
    <row r="240" s="16" customFormat="1" x14ac:dyDescent="0.25"/>
    <row r="241" s="16" customFormat="1" x14ac:dyDescent="0.25"/>
    <row r="242" s="16" customFormat="1" x14ac:dyDescent="0.25"/>
    <row r="243" s="16" customFormat="1" x14ac:dyDescent="0.25"/>
    <row r="244" s="16" customFormat="1" x14ac:dyDescent="0.25"/>
    <row r="245" s="16" customFormat="1" x14ac:dyDescent="0.25"/>
    <row r="246" s="16" customFormat="1" x14ac:dyDescent="0.25"/>
    <row r="247" s="16" customFormat="1" x14ac:dyDescent="0.25"/>
    <row r="248" s="16" customFormat="1" x14ac:dyDescent="0.25"/>
    <row r="249" s="16" customFormat="1" x14ac:dyDescent="0.25"/>
    <row r="250" s="16" customFormat="1" x14ac:dyDescent="0.25"/>
    <row r="251" s="16" customFormat="1" x14ac:dyDescent="0.25"/>
    <row r="252" s="16" customFormat="1" x14ac:dyDescent="0.25"/>
    <row r="253" s="16" customFormat="1" x14ac:dyDescent="0.25"/>
    <row r="254" s="16" customFormat="1" x14ac:dyDescent="0.25"/>
    <row r="255" s="16" customFormat="1" x14ac:dyDescent="0.25"/>
    <row r="256" s="16" customFormat="1" x14ac:dyDescent="0.25"/>
    <row r="257" s="16" customFormat="1" x14ac:dyDescent="0.25"/>
    <row r="258" s="16" customFormat="1" x14ac:dyDescent="0.25"/>
    <row r="259" s="16" customFormat="1" x14ac:dyDescent="0.25"/>
    <row r="260" s="16" customFormat="1" x14ac:dyDescent="0.25"/>
    <row r="261" s="16" customFormat="1" x14ac:dyDescent="0.25"/>
    <row r="262" s="16" customFormat="1" x14ac:dyDescent="0.25"/>
    <row r="263" s="16" customFormat="1" x14ac:dyDescent="0.25"/>
    <row r="264" s="16" customFormat="1" x14ac:dyDescent="0.25"/>
    <row r="265" s="16" customFormat="1" x14ac:dyDescent="0.25"/>
    <row r="266" s="16" customFormat="1" x14ac:dyDescent="0.25"/>
    <row r="267" s="16" customFormat="1" x14ac:dyDescent="0.25"/>
    <row r="268" s="16" customFormat="1" x14ac:dyDescent="0.25"/>
    <row r="269" s="16" customFormat="1" x14ac:dyDescent="0.25"/>
    <row r="270" s="16" customFormat="1" x14ac:dyDescent="0.25"/>
    <row r="271" s="16" customFormat="1" x14ac:dyDescent="0.25"/>
    <row r="272" s="16" customFormat="1" x14ac:dyDescent="0.25"/>
  </sheetData>
  <mergeCells count="2">
    <mergeCell ref="B3:C3"/>
    <mergeCell ref="G5:K2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07FF7B3-67F9-465C-80AC-3138A6CB5503}">
          <x14:formula1>
            <xm:f>'Типы изделий'!$A$2:$A$24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E711C-39C9-4EE1-9B55-2BA7F37F7028}">
  <sheetPr codeName="Лист3"/>
  <dimension ref="A1:G12"/>
  <sheetViews>
    <sheetView workbookViewId="0">
      <selection activeCell="B1" sqref="B1:D1"/>
    </sheetView>
  </sheetViews>
  <sheetFormatPr defaultRowHeight="15" x14ac:dyDescent="0.25"/>
  <cols>
    <col min="1" max="1" width="37.5703125" customWidth="1"/>
    <col min="2" max="2" width="22.28515625" customWidth="1"/>
    <col min="3" max="7" width="11.140625" customWidth="1"/>
  </cols>
  <sheetData>
    <row r="1" spans="1:7" x14ac:dyDescent="0.25">
      <c r="A1" t="s">
        <v>16</v>
      </c>
      <c r="B1" t="s">
        <v>12</v>
      </c>
      <c r="C1" t="s">
        <v>15</v>
      </c>
      <c r="D1" t="s">
        <v>30</v>
      </c>
      <c r="E1" t="s">
        <v>13</v>
      </c>
      <c r="F1" t="s">
        <v>14</v>
      </c>
      <c r="G1" t="s">
        <v>6</v>
      </c>
    </row>
    <row r="2" spans="1:7" x14ac:dyDescent="0.25">
      <c r="A2" t="s">
        <v>62</v>
      </c>
      <c r="B2">
        <v>3</v>
      </c>
      <c r="C2">
        <v>3</v>
      </c>
      <c r="D2">
        <v>5</v>
      </c>
    </row>
    <row r="3" spans="1:7" x14ac:dyDescent="0.25">
      <c r="A3" t="s">
        <v>61</v>
      </c>
      <c r="B3">
        <v>2</v>
      </c>
      <c r="C3">
        <v>5</v>
      </c>
      <c r="D3">
        <v>8</v>
      </c>
    </row>
    <row r="4" spans="1:7" x14ac:dyDescent="0.25">
      <c r="A4" t="s">
        <v>68</v>
      </c>
      <c r="B4">
        <v>2</v>
      </c>
      <c r="C4">
        <v>5</v>
      </c>
      <c r="D4">
        <v>8</v>
      </c>
    </row>
    <row r="5" spans="1:7" x14ac:dyDescent="0.25">
      <c r="A5" t="s">
        <v>64</v>
      </c>
      <c r="B5">
        <v>10</v>
      </c>
      <c r="C5">
        <v>0.25</v>
      </c>
      <c r="D5">
        <v>0.6</v>
      </c>
    </row>
    <row r="6" spans="1:7" x14ac:dyDescent="0.25">
      <c r="A6" t="s">
        <v>63</v>
      </c>
      <c r="B6">
        <v>0.5</v>
      </c>
      <c r="C6">
        <v>0.15</v>
      </c>
      <c r="D6">
        <v>0.3</v>
      </c>
    </row>
    <row r="7" spans="1:7" x14ac:dyDescent="0.25">
      <c r="A7" t="s">
        <v>69</v>
      </c>
      <c r="B7">
        <v>0.5</v>
      </c>
      <c r="C7">
        <v>0.15</v>
      </c>
      <c r="D7">
        <v>0.3</v>
      </c>
    </row>
    <row r="8" spans="1:7" x14ac:dyDescent="0.25">
      <c r="A8" t="s">
        <v>34</v>
      </c>
      <c r="B8">
        <v>250</v>
      </c>
      <c r="C8">
        <v>610</v>
      </c>
      <c r="D8">
        <v>800</v>
      </c>
    </row>
    <row r="9" spans="1:7" x14ac:dyDescent="0.25">
      <c r="A9" t="s">
        <v>101</v>
      </c>
      <c r="B9">
        <v>15000</v>
      </c>
      <c r="C9">
        <v>151800</v>
      </c>
      <c r="D9">
        <v>143180</v>
      </c>
      <c r="E9">
        <v>15000</v>
      </c>
      <c r="F9">
        <v>15000</v>
      </c>
      <c r="G9">
        <v>15000</v>
      </c>
    </row>
    <row r="10" spans="1:7" x14ac:dyDescent="0.25">
      <c r="A10" t="s">
        <v>102</v>
      </c>
      <c r="B10">
        <v>15000</v>
      </c>
      <c r="C10">
        <v>151800</v>
      </c>
      <c r="D10">
        <v>143180</v>
      </c>
      <c r="E10">
        <v>15000</v>
      </c>
      <c r="F10">
        <v>15000</v>
      </c>
      <c r="G10">
        <v>15000</v>
      </c>
    </row>
    <row r="11" spans="1:7" x14ac:dyDescent="0.25">
      <c r="A11" t="s">
        <v>103</v>
      </c>
      <c r="B11">
        <v>1500</v>
      </c>
      <c r="C11">
        <v>1300</v>
      </c>
      <c r="D11">
        <v>1500</v>
      </c>
      <c r="E11">
        <v>1500</v>
      </c>
      <c r="F11">
        <v>1500</v>
      </c>
      <c r="G11">
        <v>1500</v>
      </c>
    </row>
    <row r="12" spans="1:7" x14ac:dyDescent="0.25">
      <c r="A12" t="s">
        <v>90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834EA-5EA9-4830-BD28-17815A1C1A97}">
  <dimension ref="A1:D29"/>
  <sheetViews>
    <sheetView tabSelected="1" workbookViewId="0">
      <selection activeCell="C2" sqref="C2"/>
    </sheetView>
  </sheetViews>
  <sheetFormatPr defaultRowHeight="15" x14ac:dyDescent="0.25"/>
  <cols>
    <col min="1" max="1" width="23.42578125" customWidth="1"/>
    <col min="2" max="4" width="11.85546875" customWidth="1"/>
  </cols>
  <sheetData>
    <row r="1" spans="1:4" x14ac:dyDescent="0.25">
      <c r="A1" s="28" t="s">
        <v>119</v>
      </c>
      <c r="B1" s="29" t="s">
        <v>12</v>
      </c>
      <c r="C1" s="29" t="s">
        <v>15</v>
      </c>
      <c r="D1" s="30" t="s">
        <v>30</v>
      </c>
    </row>
    <row r="2" spans="1:4" x14ac:dyDescent="0.25">
      <c r="A2" s="31">
        <v>50</v>
      </c>
      <c r="B2" s="38">
        <v>630</v>
      </c>
      <c r="C2" s="32"/>
      <c r="D2" s="33"/>
    </row>
    <row r="3" spans="1:4" x14ac:dyDescent="0.25">
      <c r="A3" s="31">
        <v>100</v>
      </c>
      <c r="B3" s="12">
        <v>630</v>
      </c>
      <c r="C3" s="12">
        <v>190</v>
      </c>
      <c r="D3" s="34"/>
    </row>
    <row r="4" spans="1:4" x14ac:dyDescent="0.25">
      <c r="A4" s="31">
        <v>150</v>
      </c>
      <c r="B4" s="12">
        <v>315</v>
      </c>
      <c r="C4" s="12">
        <v>190</v>
      </c>
      <c r="D4" s="34"/>
    </row>
    <row r="5" spans="1:4" x14ac:dyDescent="0.25">
      <c r="A5" s="31">
        <v>200</v>
      </c>
      <c r="B5" s="12">
        <v>160</v>
      </c>
      <c r="C5" s="12">
        <v>190</v>
      </c>
      <c r="D5" s="34"/>
    </row>
    <row r="6" spans="1:4" x14ac:dyDescent="0.25">
      <c r="A6" s="31">
        <v>250</v>
      </c>
      <c r="B6" s="12">
        <v>160</v>
      </c>
      <c r="C6" s="12">
        <v>190</v>
      </c>
      <c r="D6" s="34">
        <v>107</v>
      </c>
    </row>
    <row r="7" spans="1:4" x14ac:dyDescent="0.25">
      <c r="A7" s="31">
        <v>300</v>
      </c>
      <c r="B7" s="12">
        <v>125</v>
      </c>
      <c r="C7" s="12">
        <v>190</v>
      </c>
      <c r="D7" s="34">
        <v>107</v>
      </c>
    </row>
    <row r="8" spans="1:4" x14ac:dyDescent="0.25">
      <c r="A8" s="31">
        <v>350</v>
      </c>
      <c r="B8" s="12"/>
      <c r="C8" s="12">
        <v>140</v>
      </c>
      <c r="D8" s="34">
        <v>90</v>
      </c>
    </row>
    <row r="9" spans="1:4" x14ac:dyDescent="0.25">
      <c r="A9" s="31">
        <v>400</v>
      </c>
      <c r="B9" s="12"/>
      <c r="C9" s="12">
        <v>106</v>
      </c>
      <c r="D9" s="34">
        <v>90</v>
      </c>
    </row>
    <row r="10" spans="1:4" x14ac:dyDescent="0.25">
      <c r="A10" s="31">
        <v>450</v>
      </c>
      <c r="B10" s="12"/>
      <c r="C10" s="12">
        <v>106</v>
      </c>
      <c r="D10" s="34">
        <v>90</v>
      </c>
    </row>
    <row r="11" spans="1:4" x14ac:dyDescent="0.25">
      <c r="A11" s="31">
        <v>500</v>
      </c>
      <c r="B11" s="12"/>
      <c r="C11" s="12">
        <v>106</v>
      </c>
      <c r="D11" s="34">
        <v>76</v>
      </c>
    </row>
    <row r="12" spans="1:4" x14ac:dyDescent="0.25">
      <c r="A12" s="31">
        <v>550</v>
      </c>
      <c r="B12" s="12"/>
      <c r="C12" s="12">
        <v>80</v>
      </c>
      <c r="D12" s="34">
        <v>76</v>
      </c>
    </row>
    <row r="13" spans="1:4" x14ac:dyDescent="0.25">
      <c r="A13" s="31">
        <v>600</v>
      </c>
      <c r="B13" s="12"/>
      <c r="C13" s="12">
        <v>80</v>
      </c>
      <c r="D13" s="34">
        <v>76</v>
      </c>
    </row>
    <row r="14" spans="1:4" x14ac:dyDescent="0.25">
      <c r="A14" s="31">
        <v>650</v>
      </c>
      <c r="B14" s="12"/>
      <c r="C14" s="12">
        <v>80</v>
      </c>
      <c r="D14" s="34">
        <v>76</v>
      </c>
    </row>
    <row r="15" spans="1:4" x14ac:dyDescent="0.25">
      <c r="A15" s="31">
        <v>700</v>
      </c>
      <c r="B15" s="12"/>
      <c r="C15" s="12"/>
      <c r="D15" s="34">
        <v>63</v>
      </c>
    </row>
    <row r="16" spans="1:4" x14ac:dyDescent="0.25">
      <c r="A16" s="31">
        <v>750</v>
      </c>
      <c r="B16" s="12"/>
      <c r="C16" s="12"/>
      <c r="D16" s="34">
        <v>55</v>
      </c>
    </row>
    <row r="17" spans="1:4" x14ac:dyDescent="0.25">
      <c r="A17" s="31">
        <v>800</v>
      </c>
      <c r="B17" s="12"/>
      <c r="C17" s="12"/>
      <c r="D17" s="34">
        <v>45</v>
      </c>
    </row>
    <row r="18" spans="1:4" x14ac:dyDescent="0.25">
      <c r="A18" s="31">
        <v>850</v>
      </c>
      <c r="B18" s="12"/>
      <c r="C18" s="12"/>
      <c r="D18" s="34">
        <v>38</v>
      </c>
    </row>
    <row r="19" spans="1:4" x14ac:dyDescent="0.25">
      <c r="A19" s="31">
        <v>900</v>
      </c>
      <c r="B19" s="12"/>
      <c r="C19" s="12"/>
      <c r="D19" s="34">
        <v>38</v>
      </c>
    </row>
    <row r="20" spans="1:4" x14ac:dyDescent="0.25">
      <c r="A20" s="31">
        <v>950</v>
      </c>
      <c r="B20" s="12"/>
      <c r="C20" s="12"/>
      <c r="D20" s="34">
        <v>38</v>
      </c>
    </row>
    <row r="21" spans="1:4" x14ac:dyDescent="0.25">
      <c r="A21" s="31">
        <v>1000</v>
      </c>
      <c r="B21" s="12"/>
      <c r="C21" s="12"/>
      <c r="D21" s="34">
        <v>38</v>
      </c>
    </row>
    <row r="22" spans="1:4" x14ac:dyDescent="0.25">
      <c r="A22" s="31"/>
      <c r="B22" s="12"/>
      <c r="C22" s="12"/>
      <c r="D22" s="34"/>
    </row>
    <row r="23" spans="1:4" x14ac:dyDescent="0.25">
      <c r="A23" s="31"/>
      <c r="B23" s="12"/>
      <c r="C23" s="12"/>
      <c r="D23" s="34"/>
    </row>
    <row r="24" spans="1:4" x14ac:dyDescent="0.25">
      <c r="A24" s="31"/>
      <c r="B24" s="12"/>
      <c r="C24" s="12"/>
      <c r="D24" s="34"/>
    </row>
    <row r="25" spans="1:4" x14ac:dyDescent="0.25">
      <c r="A25" s="31"/>
      <c r="B25" s="12"/>
      <c r="C25" s="12"/>
      <c r="D25" s="34"/>
    </row>
    <row r="26" spans="1:4" x14ac:dyDescent="0.25">
      <c r="A26" s="31"/>
      <c r="B26" s="12"/>
      <c r="C26" s="12"/>
      <c r="D26" s="34"/>
    </row>
    <row r="27" spans="1:4" x14ac:dyDescent="0.25">
      <c r="A27" s="31"/>
      <c r="B27" s="12"/>
      <c r="C27" s="12"/>
      <c r="D27" s="34"/>
    </row>
    <row r="28" spans="1:4" x14ac:dyDescent="0.25">
      <c r="A28" s="31"/>
      <c r="B28" s="12"/>
      <c r="C28" s="12"/>
      <c r="D28" s="34"/>
    </row>
    <row r="29" spans="1:4" x14ac:dyDescent="0.25">
      <c r="A29" s="35"/>
      <c r="B29" s="36"/>
      <c r="C29" s="36"/>
      <c r="D29" s="3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DA814-A8BD-4F9D-B08A-B203FCE1FC8C}">
  <sheetPr codeName="Лист5"/>
  <dimension ref="A1:K83"/>
  <sheetViews>
    <sheetView topLeftCell="A52" workbookViewId="0">
      <selection activeCell="B35" sqref="B35"/>
    </sheetView>
  </sheetViews>
  <sheetFormatPr defaultRowHeight="15" x14ac:dyDescent="0.25"/>
  <cols>
    <col min="1" max="1" width="58" customWidth="1"/>
    <col min="2" max="2" width="15.85546875" customWidth="1"/>
    <col min="3" max="3" width="22.28515625" customWidth="1"/>
  </cols>
  <sheetData>
    <row r="1" spans="1:3" x14ac:dyDescent="0.25">
      <c r="A1" s="3" t="s">
        <v>36</v>
      </c>
      <c r="B1" s="3">
        <f>INDEX(Калькулятор!E5:E22,MATCH("Внешний диаметр (D1)",Калькулятор!D5:D22,0),1)-INDEX(Калькулятор!B5:B22,MATCH("Внешний диметр (D)",Калькулятор!A5:A22,0),1)</f>
        <v>0</v>
      </c>
      <c r="C1" s="3" t="s">
        <v>56</v>
      </c>
    </row>
    <row r="2" spans="1:3" x14ac:dyDescent="0.25">
      <c r="A2" s="3" t="s">
        <v>37</v>
      </c>
      <c r="B2" s="3">
        <f>INDEX(Калькулятор!E5:E22,MATCH("Толщина листа (S)",Калькулятор!D5:D22,0),1)-INDEX(Калькулятор!B5:B22,MATCH("Габарит детали (t)",Калькулятор!A5:A22,0),1)</f>
        <v>3</v>
      </c>
      <c r="C2" s="3" t="s">
        <v>56</v>
      </c>
    </row>
    <row r="3" spans="1:3" x14ac:dyDescent="0.25">
      <c r="A3" s="3" t="s">
        <v>38</v>
      </c>
      <c r="B3" s="3">
        <f>INDEX(Калькулятор!E5:E22,MATCH("Внешний диаметр (D1)",Калькулятор!D5:D22,0),1)-IFERROR(INDEX(Калькулятор!E5:E22,MATCH("Внутренний диаметр (D2)",Калькулятор!D5:D22,0),1),0)</f>
        <v>52</v>
      </c>
      <c r="C3" s="3" t="s">
        <v>56</v>
      </c>
    </row>
    <row r="4" spans="1:3" x14ac:dyDescent="0.25">
      <c r="A4" s="3" t="s">
        <v>39</v>
      </c>
      <c r="B4" s="3">
        <f>INDEX(Калькулятор!B5:B22,MATCH("Внутренний диаметр (d)",Калькулятор!A5:A22,0),1)-INDEX(Калькулятор!E5:E22,MATCH("Внутренний диаметр (D2)",Калькулятор!D5:D22,0),1)</f>
        <v>10</v>
      </c>
      <c r="C4" s="3" t="s">
        <v>56</v>
      </c>
    </row>
    <row r="5" spans="1:3" x14ac:dyDescent="0.25">
      <c r="A5" s="3" t="s">
        <v>40</v>
      </c>
      <c r="B5" s="3">
        <f>INDEX(Калькулятор!B5:B22,MATCH("Диаметр проточки (DM)",Калькулятор!A5:A22,0),1)-INDEX(Калькулятор!B5:B22,MATCH("Внутренний диаметр (d)",Калькулятор!A5:A22,0),1)</f>
        <v>-445</v>
      </c>
      <c r="C5" s="3" t="s">
        <v>56</v>
      </c>
    </row>
    <row r="6" spans="1:3" x14ac:dyDescent="0.25">
      <c r="A6" s="3" t="s">
        <v>41</v>
      </c>
      <c r="B6" s="3">
        <f>INDEX(Калькулятор!B5:B22,MATCH("Глубина проточки (a)",Калькулятор!A5:A22,0),1)</f>
        <v>0</v>
      </c>
      <c r="C6" s="3" t="s">
        <v>56</v>
      </c>
    </row>
    <row r="7" spans="1:3" x14ac:dyDescent="0.25">
      <c r="A7" s="3" t="s">
        <v>22</v>
      </c>
      <c r="B7" s="3">
        <f>IFERROR(INDEX(Калькулятор!B5:B22,MATCH("Размер фаски 1 (ch1)",Калькулятор!A5:A22,0),1),0)</f>
        <v>3</v>
      </c>
      <c r="C7" s="3" t="s">
        <v>56</v>
      </c>
    </row>
    <row r="8" spans="1:3" x14ac:dyDescent="0.25">
      <c r="A8" s="3" t="s">
        <v>42</v>
      </c>
      <c r="B8" s="3">
        <f>INDEX(Калькулятор!B5:B22,MATCH("Угол фаски (ch1)",Калькулятор!A5:A22,0),1)</f>
        <v>45</v>
      </c>
      <c r="C8" s="3" t="s">
        <v>56</v>
      </c>
    </row>
    <row r="9" spans="1:3" x14ac:dyDescent="0.25">
      <c r="A9" s="3" t="s">
        <v>23</v>
      </c>
      <c r="B9" s="3">
        <f>IFERROR(INDEX(Калькулятор!B5:B22,MATCH("Размер фаски 2 (ch2)",Калькулятор!A5:A22,0),1),0)</f>
        <v>3</v>
      </c>
      <c r="C9" s="3" t="s">
        <v>56</v>
      </c>
    </row>
    <row r="10" spans="1:3" x14ac:dyDescent="0.25">
      <c r="A10" s="3" t="s">
        <v>43</v>
      </c>
      <c r="B10" s="3">
        <f>IFERROR(INDEX(Калькулятор!B5:B22,MATCH("Угол фаски (ch2)",Калькулятор!A5:A22,0),1),0)</f>
        <v>45</v>
      </c>
      <c r="C10" s="3" t="s">
        <v>56</v>
      </c>
    </row>
    <row r="11" spans="1:3" x14ac:dyDescent="0.25">
      <c r="A11" s="3" t="s">
        <v>24</v>
      </c>
      <c r="B11" s="3">
        <f>INDEX(Калькулятор!$B$5:$B$22,MATCH("Размер фаски 3 (ch3)",Калькулятор!$A$5:$A$22,0),1)</f>
        <v>3</v>
      </c>
      <c r="C11" s="3" t="s">
        <v>56</v>
      </c>
    </row>
    <row r="12" spans="1:3" x14ac:dyDescent="0.25">
      <c r="A12" s="3" t="s">
        <v>44</v>
      </c>
      <c r="B12" s="3">
        <f>INDEX(Калькулятор!B5:B22,MATCH("Угол фаски (ch3)",Калькулятор!A5:A22,0),1)</f>
        <v>45</v>
      </c>
      <c r="C12" s="3" t="s">
        <v>56</v>
      </c>
    </row>
    <row r="13" spans="1:3" x14ac:dyDescent="0.25">
      <c r="A13" s="3" t="s">
        <v>76</v>
      </c>
      <c r="B13" s="3">
        <f>IFERROR(INDEX(Калькулятор!$B$5:$B$22,MATCH("Размер фаски 4 (ch4)",Калькулятор!$A$5:$A$22,0),1),0)</f>
        <v>0</v>
      </c>
      <c r="C13" s="3"/>
    </row>
    <row r="14" spans="1:3" x14ac:dyDescent="0.25">
      <c r="A14" s="3" t="s">
        <v>77</v>
      </c>
      <c r="B14" s="3"/>
      <c r="C14" s="3"/>
    </row>
    <row r="15" spans="1:3" x14ac:dyDescent="0.25">
      <c r="A15" s="3" t="s">
        <v>78</v>
      </c>
      <c r="B15" s="3">
        <f>IFERROR(INDEX(Калькулятор!$B$5:$B$22,MATCH("Размер фаски 5 (ch5)",Калькулятор!$A$5:$A$22,0),1),0)</f>
        <v>0</v>
      </c>
      <c r="C15" s="3"/>
    </row>
    <row r="16" spans="1:3" x14ac:dyDescent="0.25">
      <c r="A16" s="3" t="s">
        <v>79</v>
      </c>
      <c r="B16" s="3"/>
      <c r="C16" s="3"/>
    </row>
    <row r="17" spans="1:3" x14ac:dyDescent="0.25">
      <c r="A17" s="3" t="s">
        <v>80</v>
      </c>
      <c r="B17" s="3">
        <f>IFERROR(INDEX(Калькулятор!$B$5:$B$22,MATCH("Размер фаски 6 (ch6)",Калькулятор!$A$5:$A$22,0),1),0)</f>
        <v>0</v>
      </c>
      <c r="C17" s="3"/>
    </row>
    <row r="18" spans="1:3" x14ac:dyDescent="0.25">
      <c r="A18" s="3" t="s">
        <v>81</v>
      </c>
      <c r="B18" s="3"/>
      <c r="C18" s="3"/>
    </row>
    <row r="19" spans="1:3" x14ac:dyDescent="0.25">
      <c r="A19" s="3" t="s">
        <v>82</v>
      </c>
      <c r="B19" s="3">
        <f>IFERROR(INDEX(Калькулятор!$B$5:$B$22,MATCH("Размер фаски 7 (ch7)",Калькулятор!$A$5:$A$22,0),1),0)</f>
        <v>0</v>
      </c>
      <c r="C19" s="3"/>
    </row>
    <row r="20" spans="1:3" x14ac:dyDescent="0.25">
      <c r="A20" s="3" t="s">
        <v>83</v>
      </c>
      <c r="B20" s="3"/>
      <c r="C20" s="3"/>
    </row>
    <row r="21" spans="1:3" x14ac:dyDescent="0.25">
      <c r="A21" s="3" t="s">
        <v>84</v>
      </c>
      <c r="B21" s="3">
        <f>IFERROR(INDEX(Калькулятор!$B$5:$B$22,MATCH("Размер фаски 8 (ch8)",Калькулятор!$A$5:$A$22,0),1),0)</f>
        <v>0</v>
      </c>
      <c r="C21" s="3"/>
    </row>
    <row r="22" spans="1:3" x14ac:dyDescent="0.25">
      <c r="A22" s="3" t="s">
        <v>85</v>
      </c>
      <c r="B22" s="3"/>
      <c r="C22" s="3"/>
    </row>
    <row r="23" spans="1:3" x14ac:dyDescent="0.25">
      <c r="A23" s="3" t="s">
        <v>86</v>
      </c>
      <c r="B23" s="3">
        <f>IFERROR(INDEX(Калькулятор!$B$5:$B$22,MATCH("Размер фаски 9 (ch9)",Калькулятор!$A$5:$A$22,0),1),0)</f>
        <v>0</v>
      </c>
      <c r="C23" s="3"/>
    </row>
    <row r="24" spans="1:3" x14ac:dyDescent="0.25">
      <c r="A24" s="3" t="s">
        <v>87</v>
      </c>
      <c r="B24" s="3"/>
      <c r="C24" s="3"/>
    </row>
    <row r="25" spans="1:3" x14ac:dyDescent="0.25">
      <c r="A25" s="3" t="s">
        <v>88</v>
      </c>
      <c r="B25" s="3">
        <f>IFERROR(INDEX(Калькулятор!$B$5:$B$22,MATCH("Размер фаски 10 (ch10)",Калькулятор!$A$5:$A$22,0),1),0)</f>
        <v>0</v>
      </c>
      <c r="C25" s="3"/>
    </row>
    <row r="26" spans="1:3" x14ac:dyDescent="0.25">
      <c r="A26" s="3" t="s">
        <v>89</v>
      </c>
      <c r="B26" s="3"/>
      <c r="C26" s="3"/>
    </row>
    <row r="27" spans="1:3" x14ac:dyDescent="0.25">
      <c r="A27" s="4" t="s">
        <v>59</v>
      </c>
      <c r="B27" s="5">
        <f>IFERROR(INDEX(Калькулятор!B5:B22,MATCH("Диаметр 2-ой проточки (Dw)",Калькулятор!A5:A22,0),1)-INDEX(Калькулятор!B5:B22,MATCH("Внутренний диаметр (d)",Калькулятор!A5:A22,0),1),0)</f>
        <v>20</v>
      </c>
      <c r="C27" s="5"/>
    </row>
    <row r="28" spans="1:3" x14ac:dyDescent="0.25">
      <c r="A28" s="5" t="s">
        <v>60</v>
      </c>
      <c r="B28" s="5">
        <f>IFERROR(INDEX(Калькулятор!B5:B22,MATCH("Габарит детали (t)",Калькулятор!A5:A22,0),1)-INDEX(Калькулятор!B5:B22,MATCH("Глубина 2-ой проточки (b)",Калькулятор!A5:A22,0),1),0)</f>
        <v>10</v>
      </c>
      <c r="C28" s="5"/>
    </row>
    <row r="29" spans="1:3" x14ac:dyDescent="0.25">
      <c r="A29" s="4" t="s">
        <v>65</v>
      </c>
      <c r="B29" s="5">
        <f>INDEX(Калькулятор!E5:E22,MATCH("Толщина листа (S)",Калькулятор!$D$5:$D$22,0),1)</f>
        <v>33</v>
      </c>
      <c r="C29" s="5"/>
    </row>
    <row r="30" spans="1:3" x14ac:dyDescent="0.25">
      <c r="A30" s="4" t="s">
        <v>71</v>
      </c>
      <c r="B30" s="5">
        <f>INDEX(Калькулятор!B5:B22,MATCH("Габарит детали (t)",Калькулятор!A5:A22,0),1)</f>
        <v>30</v>
      </c>
      <c r="C30" s="5"/>
    </row>
    <row r="31" spans="1:3" x14ac:dyDescent="0.25">
      <c r="A31" s="4" t="s">
        <v>91</v>
      </c>
      <c r="B31" s="5">
        <f>IF(B3/(2*(HLOOKUP('Получение данных для расчета'!B53,Таблица5[#All],MATCH("Сием поперечное точение",'Типы станков'!A1:A28,0) )))&lt;0,0,B3/(2*(HLOOKUP('Получение данных для расчета'!B53,Таблица5[#All],MATCH("Сием поперечное точение",'Типы станков'!A1:A28,0) ))))</f>
        <v>8.6666666666666661</v>
      </c>
      <c r="C31" s="5"/>
    </row>
    <row r="32" spans="1:3" x14ac:dyDescent="0.25">
      <c r="A32" s="4" t="s">
        <v>93</v>
      </c>
      <c r="B32" s="5">
        <f>(3.14*B31*(INDEX(Калькулятор!E5:E22,MATCH("Внешний диаметр (D1)",Калькулятор!D5:D22,0),1)+INDEX(Калькулятор!E5:E22,MATCH("Внутренний диаметр (D2)",Калькулятор!D5:D22,0),1)))/2</f>
        <v>12545.346666666666</v>
      </c>
      <c r="C32" s="5"/>
    </row>
    <row r="33" spans="1:8" x14ac:dyDescent="0.25">
      <c r="A33" s="4" t="s">
        <v>92</v>
      </c>
      <c r="B33" s="5">
        <f>B5/(2*(HLOOKUP('Получение данных для расчета'!B53,Таблица5[#All],MATCH("Подача поперечная",'Типы станков'!A1:A28,0) )))</f>
        <v>-890</v>
      </c>
      <c r="C33" s="5"/>
    </row>
    <row r="34" spans="1:8" x14ac:dyDescent="0.25">
      <c r="A34" s="4" t="s">
        <v>94</v>
      </c>
      <c r="B34" s="5">
        <f>(3.14*B33*(INDEX(Калькулятор!B5:B22,MATCH("Диаметр проточки (DM)",Калькулятор!A5:A22,0),1)+INDEX(Калькулятор!B5:B22,MATCH("Внутренний диаметр (d)",Калькулятор!A5:A22,0),1)))/2</f>
        <v>-621798.5</v>
      </c>
      <c r="C34" s="5"/>
    </row>
    <row r="35" spans="1:8" x14ac:dyDescent="0.25">
      <c r="A35" s="4" t="s">
        <v>95</v>
      </c>
      <c r="B35" s="5">
        <f>B27/(2*(HLOOKUP('Получение данных для расчета'!B53,Таблица5[#All],MATCH("Сием поперечное точение",'Типы станков'!A1:A28,0) )))</f>
        <v>3.3333333333333335</v>
      </c>
      <c r="C35" s="5"/>
      <c r="H35">
        <f>IFERROR(1,0)</f>
        <v>1</v>
      </c>
    </row>
    <row r="36" spans="1:8" x14ac:dyDescent="0.25">
      <c r="A36" s="4" t="s">
        <v>96</v>
      </c>
      <c r="B36" s="5">
        <f>IFERROR((3.14*B35*(INDEX(Калькулятор!B5:B22,MATCH("Диаметр 2-ой проточки (Dw)",Калькулятор!A5:A22,0),1)+INDEX(Калькулятор!B5:B22,MATCH("Внутренний диаметр (d)",Калькулятор!A5:A22,0),1)))/2,0)</f>
        <v>4762.333333333333</v>
      </c>
      <c r="C36" s="5"/>
    </row>
    <row r="37" spans="1:8" x14ac:dyDescent="0.25">
      <c r="A37" s="4" t="s">
        <v>97</v>
      </c>
      <c r="B37" s="5">
        <f>B29/HLOOKUP('Получение данных для расчета'!B53,Таблица5[#All],MATCH("Подача продольная ",'Типы станков'!A1:A28,0) )</f>
        <v>220</v>
      </c>
      <c r="C37" s="5"/>
    </row>
    <row r="38" spans="1:8" x14ac:dyDescent="0.25">
      <c r="A38" s="4" t="s">
        <v>98</v>
      </c>
      <c r="B38" s="5">
        <f>(SQRT( HLOOKUP('Получение данных для расчета'!B53,Таблица5[#All],MATCH("Подача продольная ",'Типы станков'!A1:A28,0) )^2+(3.14*INDEX(Калькулятор!B5:B22,MATCH("Внешний диметр (D)",Калькулятор!A5:A22,0),1))^2))*B37</f>
        <v>336419.60161851451</v>
      </c>
      <c r="C38" s="5"/>
    </row>
    <row r="39" spans="1:8" x14ac:dyDescent="0.25">
      <c r="A39" s="4" t="s">
        <v>99</v>
      </c>
      <c r="B39" s="5">
        <f>B30/HLOOKUP('Получение данных для расчета'!B53,Таблица5[#All],MATCH("Подача продольная ",'Типы станков'!A1:A28,0) )</f>
        <v>200</v>
      </c>
      <c r="C39" s="5"/>
    </row>
    <row r="40" spans="1:8" x14ac:dyDescent="0.25">
      <c r="A40" s="4" t="s">
        <v>100</v>
      </c>
      <c r="B40" s="5">
        <f>(SQRT( HLOOKUP('Получение данных для расчета'!B53,Таблица5[#All],MATCH("Подача продольная ",'Типы станков'!A1:A28,0) )^2+(3.14*INDEX(Калькулятор!B5:B22,MATCH("Внутренний диаметр (d)",Калькулятор!A5:A22,0),1))^2))*B39</f>
        <v>279460.00161024829</v>
      </c>
      <c r="C40" s="5"/>
      <c r="D40">
        <f>HLOOKUP('Получение данных для расчета'!B53,Таблица5[#All],MATCH("Подача продольная ",'Типы станков'!A1:A28,0) )</f>
        <v>0.15</v>
      </c>
    </row>
    <row r="41" spans="1:8" x14ac:dyDescent="0.25">
      <c r="A41" s="5" t="s">
        <v>114</v>
      </c>
      <c r="B41" s="5">
        <f>IFERROR(INDEX(Калькулятор!B5:B22,MATCH("Глубина 2-ой проточки (с)",Калькулятор!A5:A22,0),1),0)</f>
        <v>0</v>
      </c>
      <c r="C41" s="5" t="s">
        <v>115</v>
      </c>
    </row>
    <row r="42" spans="1:8" x14ac:dyDescent="0.25">
      <c r="A42" s="4" t="s">
        <v>117</v>
      </c>
      <c r="B42" s="5">
        <f>B27/(2*(HLOOKUP('Получение данных для расчета'!B53,Таблица5[#All],MATCH("Сием поперечное точение",'Типы станков'!A1:A28,0) )))</f>
        <v>3.3333333333333335</v>
      </c>
      <c r="C42" s="5"/>
    </row>
    <row r="43" spans="1:8" x14ac:dyDescent="0.25">
      <c r="A43" s="4" t="s">
        <v>118</v>
      </c>
      <c r="B43" s="5">
        <f>IFERROR((3.14*B35*(INDEX(Калькулятор!B5:B22,MATCH("Диаметр 2-ой проточки (Dw)",Калькулятор!A5:A22,0),1)+INDEX(Калькулятор!B5:B22,MATCH("Внутренний диаметр (d)",Калькулятор!A5:A22,0),1)))/2,0)</f>
        <v>4762.333333333333</v>
      </c>
      <c r="C43" s="5"/>
    </row>
    <row r="53" spans="1:2" x14ac:dyDescent="0.25">
      <c r="A53" s="6" t="s">
        <v>33</v>
      </c>
      <c r="B53" s="6" t="str">
        <f>IF(INDEX(Калькулятор!B5:B22,MATCH("Внешний диметр (D)",Калькулятор!A5:A22,0),1)&gt;250,IF(INDEX(Калькулятор!B5:B22,MATCH("Внешний диметр (D)",Калькулятор!A5:A22,0),1)&gt;610,IF(INDEX(Калькулятор!B5:B22,MATCH("Внешний диметр (D)",Калькулятор!A5:A22,0),1)&gt;800,"ошибка отсутствуют станки больших диаметров","1М65"),"1М63"),"16К20")</f>
        <v>1М63</v>
      </c>
    </row>
    <row r="55" spans="1:2" x14ac:dyDescent="0.25">
      <c r="A55" s="7" t="s">
        <v>28</v>
      </c>
      <c r="B55" s="7">
        <f>IF(ROUNDUP((B1/2)/(HLOOKUP('Получение данных для расчета'!B53,Таблица5[#All],MATCH("Сием продольное точение",'Типы станков'!A1:A28,0) )),0)=1,ROUNDUP((B1/2)/(HLOOKUP('Получение данных для расчета'!B53,Таблица5[#All],MATCH("Сием продольное точение",'Типы станков'!A1:A28,0) )),0)+1,ROUNDUP((B1/2)/(HLOOKUP('Получение данных для расчета'!B53,Таблица5[#All],MATCH("Сием продольное точение",'Типы станков'!A1:A28,0) )),0))</f>
        <v>0</v>
      </c>
    </row>
    <row r="56" spans="1:2" x14ac:dyDescent="0.25">
      <c r="A56" s="7" t="s">
        <v>29</v>
      </c>
      <c r="B56" s="7">
        <f>IF(ROUNDUP((B2/2)/(HLOOKUP('Получение данных для расчета'!B53,Таблица5[#All],MATCH("Сием поперечное точение",'Типы станков'!A1:A28,0) )),0)=1,ROUNDUP((B2/2)/(HLOOKUP('Получение данных для расчета'!B53,Таблица5[#All],MATCH("Сием поперечное точение",'Типы станков'!A1:A28,0) )),0)+1,ROUNDUP((B2/2)/(HLOOKUP('Получение данных для расчета'!B53,Таблица5[#All],MATCH("Сием поперечное точение",'Типы станков'!A1:A28,0) )),0))</f>
        <v>2</v>
      </c>
    </row>
    <row r="57" spans="1:2" x14ac:dyDescent="0.25">
      <c r="A57" s="7" t="s">
        <v>67</v>
      </c>
      <c r="B57" s="7">
        <f>IF(ROUNDUP((B4/2)/(HLOOKUP('Получение данных для расчета'!B53,Таблица5[#All],MATCH("Сием поперечное точение",'Типы станков'!A1:A28,0) )),0)=1,ROUNDUP((B4/2)/(HLOOKUP('Получение данных для расчета'!B53,Таблица5[#All],MATCH("Сием поперечное точение",'Типы станков'!A1:A28,0) )),0)+1,ROUNDUP((B4/2)/(HLOOKUP('Получение данных для расчета'!B53,Таблица5[#All],MATCH("Сием поперечное точение",'Типы станков'!A1:A28,0) )),0))</f>
        <v>2</v>
      </c>
    </row>
    <row r="58" spans="1:2" x14ac:dyDescent="0.25">
      <c r="A58" s="7" t="s">
        <v>72</v>
      </c>
      <c r="B58" s="7">
        <f>IF(ROUNDUP((B6/2)/(HLOOKUP('Получение данных для расчета'!B53,Таблица5[#All],MATCH("Сием поперечное точение",'Типы станков'!A1:A28,0) )),0)=1,ROUNDUP((B6/2)/(HLOOKUP('Получение данных для расчета'!B53,Таблица5[#All],MATCH("Сием поперечное точение",'Типы станков'!A1:A28,0) )),0)+1,ROUNDUP((B6/2)/(HLOOKUP('Получение данных для расчета'!B53,Таблица5[#All],MATCH("Сием поперечное точение",'Типы станков'!A1:A28,0) )),0))</f>
        <v>0</v>
      </c>
    </row>
    <row r="59" spans="1:2" x14ac:dyDescent="0.25">
      <c r="A59" s="7" t="s">
        <v>73</v>
      </c>
      <c r="B59" s="7">
        <f>IF(ROUNDUP((B28)/(HLOOKUP('Получение данных для расчета'!B53,Таблица5[#All],MATCH("Сием поперечное точение",'Типы станков'!A1:A28,0) )),0)=1,ROUNDUP((B28)/(HLOOKUP('Получение данных для расчета'!B53,Таблица5[#All],MATCH("Сием поперечное точение",'Типы станков'!A1:A28,0) )),0)+1,ROUNDUP((B28)/(HLOOKUP('Получение данных для расчета'!B53,Таблица5[#All],MATCH("Сием поперечное точение",'Типы станков'!A1:A28,0) )),0))</f>
        <v>4</v>
      </c>
    </row>
    <row r="60" spans="1:2" x14ac:dyDescent="0.25">
      <c r="A60" s="7" t="s">
        <v>116</v>
      </c>
      <c r="B60">
        <f>IF(ROUNDUP((B41/2)/(HLOOKUP('Получение данных для расчета'!B53,Таблица5[#All],MATCH("Сием поперечное точение",'Типы станков'!A1:A28,0) )),0)=1,ROUNDUP((B41/2)/(HLOOKUP('Получение данных для расчета'!B53,Таблица5[#All],MATCH("Сием поперечное точение",'Типы станков'!A1:A28,0) )),0)+1,ROUNDUP((B41/2)/(HLOOKUP('Получение данных для расчета'!B53,Таблица5[#All],MATCH("Сием поперечное точение",'Типы станков'!A1:A28,0) )),0))</f>
        <v>0</v>
      </c>
    </row>
    <row r="61" spans="1:2" x14ac:dyDescent="0.25">
      <c r="A61" s="9"/>
    </row>
    <row r="62" spans="1:2" x14ac:dyDescent="0.25">
      <c r="A62" s="9"/>
    </row>
    <row r="63" spans="1:2" x14ac:dyDescent="0.25">
      <c r="A63" s="9"/>
    </row>
    <row r="65" spans="1:2" x14ac:dyDescent="0.25">
      <c r="A65" s="8" t="s">
        <v>66</v>
      </c>
      <c r="B65" s="8">
        <f>B38*B55</f>
        <v>0</v>
      </c>
    </row>
    <row r="66" spans="1:2" x14ac:dyDescent="0.25">
      <c r="A66" s="8" t="s">
        <v>70</v>
      </c>
      <c r="B66" s="8">
        <f>IFERROR(B40*B57,0)</f>
        <v>558920.00322049658</v>
      </c>
    </row>
    <row r="67" spans="1:2" x14ac:dyDescent="0.25">
      <c r="A67" s="8" t="s">
        <v>74</v>
      </c>
      <c r="B67" s="8">
        <f>IFERROR(IF(B34*B58+B36*B59+B43*B60&gt;=0,B34*B58+B36*B59+B43*B60,"Ошибка длинна расточки меньше 0!"),0)</f>
        <v>19049.333333333332</v>
      </c>
    </row>
    <row r="68" spans="1:2" x14ac:dyDescent="0.25">
      <c r="A68" s="8" t="s">
        <v>107</v>
      </c>
      <c r="B68" s="8">
        <f>IFERROR(B32*B56,0)</f>
        <v>25090.693333333333</v>
      </c>
    </row>
    <row r="73" spans="1:2" x14ac:dyDescent="0.25">
      <c r="A73" t="s">
        <v>104</v>
      </c>
      <c r="B73">
        <f>B65/HLOOKUP('Получение данных для расчета'!B53,Таблица5[#All],MATCH("Скорость резания продольная мм/мин",'Типы станков'!A1:A28,0) )</f>
        <v>0</v>
      </c>
    </row>
    <row r="74" spans="1:2" x14ac:dyDescent="0.25">
      <c r="A74" t="s">
        <v>105</v>
      </c>
      <c r="B74">
        <f>B66/HLOOKUP('Получение данных для расчета'!B53,Таблица5[#All],MATCH("Скорость резания продольная мм/мин",'Типы станков'!A1:A28,0) )</f>
        <v>3.6819499553392396</v>
      </c>
    </row>
    <row r="75" spans="1:2" x14ac:dyDescent="0.25">
      <c r="A75" t="s">
        <v>106</v>
      </c>
      <c r="B75">
        <f>B67/HLOOKUP('Получение данных для расчета'!B53,Таблица5[#All],MATCH("Скорость резания поперечная мм/мин",'Типы станков'!A1:A28,0) )</f>
        <v>0.12548967940272288</v>
      </c>
    </row>
    <row r="76" spans="1:2" x14ac:dyDescent="0.25">
      <c r="A76" t="s">
        <v>108</v>
      </c>
      <c r="B76">
        <f>B68/HLOOKUP('Получение данных для расчета'!B53,Таблица5[#All],MATCH("Скорость резания поперечная мм/мин",'Типы станков'!A1:A28,0) )</f>
        <v>0.16528783487044357</v>
      </c>
    </row>
    <row r="77" spans="1:2" x14ac:dyDescent="0.25">
      <c r="A77" t="s">
        <v>109</v>
      </c>
      <c r="B77">
        <f>B83/HLOOKUP('Получение данных для расчета'!B53,Таблица5[#All],MATCH("Скорость резания фасок мм/мин",'Типы станков'!A1:A28,0) )</f>
        <v>1.3176923076923076E-2</v>
      </c>
    </row>
    <row r="81" spans="1:11" x14ac:dyDescent="0.25">
      <c r="A81" s="26" t="s">
        <v>45</v>
      </c>
      <c r="B81" s="2" t="s">
        <v>46</v>
      </c>
      <c r="C81" s="2" t="s">
        <v>47</v>
      </c>
      <c r="D81" s="2" t="s">
        <v>48</v>
      </c>
      <c r="E81" s="2" t="s">
        <v>49</v>
      </c>
      <c r="F81" s="2" t="s">
        <v>50</v>
      </c>
      <c r="G81" s="2" t="s">
        <v>51</v>
      </c>
      <c r="H81" s="2" t="s">
        <v>52</v>
      </c>
      <c r="I81" s="2" t="s">
        <v>53</v>
      </c>
      <c r="J81" s="2" t="s">
        <v>54</v>
      </c>
      <c r="K81" s="2" t="s">
        <v>55</v>
      </c>
    </row>
    <row r="82" spans="1:11" x14ac:dyDescent="0.25">
      <c r="A82" s="27"/>
      <c r="B82" s="2">
        <f>IFERROR(ROUND(B7/COS(B8),2),0)</f>
        <v>5.71</v>
      </c>
      <c r="C82" s="2">
        <f>IFERROR(ROUND(B9/COS(B10),2),0)</f>
        <v>5.71</v>
      </c>
      <c r="D82" s="2">
        <f>IFERROR(ROUND(B11/COS(B12),2),0)</f>
        <v>5.71</v>
      </c>
      <c r="E82" s="2">
        <f>IFERROR(ROUND(B13/COS(B14),2),0)</f>
        <v>0</v>
      </c>
      <c r="F82" s="2">
        <f>IFERROR(ROUND(B15/COS(B16),2),0)</f>
        <v>0</v>
      </c>
      <c r="G82" s="2">
        <f>IFERROR(ROUND(B17/COS(B18),2),0)</f>
        <v>0</v>
      </c>
      <c r="H82" s="2">
        <f>IFERROR(ROUND(B19/COS(B20),2),0)</f>
        <v>0</v>
      </c>
      <c r="I82" s="2">
        <f>IFERROR(ROUND(B21/COS(B22),2),0)</f>
        <v>0</v>
      </c>
      <c r="J82" s="2">
        <f>IFERROR(ROUND(B23/COS(B24),2),0)</f>
        <v>0</v>
      </c>
      <c r="K82" s="2">
        <f>IFERROR(ROUND(B25/COS(B26),2),0)</f>
        <v>0</v>
      </c>
    </row>
    <row r="83" spans="1:11" x14ac:dyDescent="0.25">
      <c r="A83" s="10" t="s">
        <v>75</v>
      </c>
      <c r="B83" s="10">
        <f>SUM(B82:K82)</f>
        <v>17.13</v>
      </c>
    </row>
  </sheetData>
  <mergeCells count="1">
    <mergeCell ref="A81:A82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985C-FE10-487E-AB5B-8955A213B9F1}">
  <sheetPr codeName="Лист6"/>
  <dimension ref="A1:B20"/>
  <sheetViews>
    <sheetView workbookViewId="0">
      <selection activeCell="A6" sqref="A6"/>
    </sheetView>
  </sheetViews>
  <sheetFormatPr defaultRowHeight="15" x14ac:dyDescent="0.25"/>
  <cols>
    <col min="1" max="1" width="86.85546875" customWidth="1"/>
    <col min="2" max="2" width="62.7109375" customWidth="1"/>
  </cols>
  <sheetData>
    <row r="1" spans="1:2" x14ac:dyDescent="0.25">
      <c r="A1">
        <f>MATCH("Внешний диметр (D)",Калькулятор!A5:A22,0)</f>
        <v>1</v>
      </c>
      <c r="B1" t="s">
        <v>31</v>
      </c>
    </row>
    <row r="2" spans="1:2" x14ac:dyDescent="0.25">
      <c r="A2">
        <f>INDEX(Калькулятор!B5:B22,MATCH("Внешний диметр (D)",Калькулятор!A5:A22,0),1)</f>
        <v>487</v>
      </c>
      <c r="B2" t="s">
        <v>32</v>
      </c>
    </row>
    <row r="3" spans="1:2" x14ac:dyDescent="0.25">
      <c r="A3" t="str">
        <f>IF(INDEX(Калькулятор!B5:B22,MATCH("Внешний диметр (D)",Калькулятор!A5:A22,0),1)&gt;250,IF(INDEX(Калькулятор!B5:B22,MATCH("Внешний диметр (D)",Калькулятор!A5:A22,0),1)&gt;610,IF(INDEX(Калькулятор!B5:B22,MATCH("Внешний диметр (D)",Калькулятор!A5:A22,0),1)&gt;800,"ошибка отсутствуют станки больших диаметров","1М65"),"1М63"),"16К20")</f>
        <v>1М63</v>
      </c>
      <c r="B3" t="s">
        <v>35</v>
      </c>
    </row>
    <row r="5" spans="1:2" x14ac:dyDescent="0.25">
      <c r="A5">
        <f>ROUNDUP(3.2,0)</f>
        <v>4</v>
      </c>
    </row>
    <row r="19" spans="1:1" x14ac:dyDescent="0.25">
      <c r="A19">
        <f>MATCH("16К20",'Типы станков'!1:1,1)</f>
        <v>2</v>
      </c>
    </row>
    <row r="20" spans="1:1" x14ac:dyDescent="0.25">
      <c r="A20">
        <f>HLOOKUP(Таблица5[#Headers],Таблица5[#All],MATCH("Сием продольное точение",'Типы станков'!A1:A28,0) )</f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F0AB-90EE-44E9-A03F-9A17C948A4CA}">
  <sheetPr codeName="Лист7"/>
  <dimension ref="A1:F19"/>
  <sheetViews>
    <sheetView workbookViewId="0">
      <selection activeCell="F19" sqref="F19"/>
    </sheetView>
  </sheetViews>
  <sheetFormatPr defaultRowHeight="15" x14ac:dyDescent="0.25"/>
  <cols>
    <col min="1" max="1" width="29.5703125" customWidth="1"/>
    <col min="2" max="2" width="32.28515625" customWidth="1"/>
    <col min="3" max="3" width="27.28515625" customWidth="1"/>
    <col min="4" max="4" width="27" customWidth="1"/>
    <col min="5" max="5" width="27.140625" customWidth="1"/>
    <col min="6" max="6" width="27.5703125" customWidth="1"/>
  </cols>
  <sheetData>
    <row r="1" spans="1:6" x14ac:dyDescent="0.25">
      <c r="A1" t="s">
        <v>7</v>
      </c>
      <c r="B1" t="s">
        <v>56</v>
      </c>
      <c r="C1" t="s">
        <v>2</v>
      </c>
      <c r="D1" t="s">
        <v>8</v>
      </c>
      <c r="E1" t="s">
        <v>4</v>
      </c>
      <c r="F1" t="s">
        <v>5</v>
      </c>
    </row>
    <row r="2" spans="1:6" x14ac:dyDescent="0.25">
      <c r="A2" t="s">
        <v>25</v>
      </c>
      <c r="B2" t="s">
        <v>25</v>
      </c>
      <c r="C2" t="s">
        <v>25</v>
      </c>
      <c r="D2" t="s">
        <v>25</v>
      </c>
      <c r="E2" t="s">
        <v>25</v>
      </c>
      <c r="F2" t="s">
        <v>25</v>
      </c>
    </row>
    <row r="3" spans="1:6" x14ac:dyDescent="0.25">
      <c r="A3" t="s">
        <v>26</v>
      </c>
      <c r="B3" t="s">
        <v>26</v>
      </c>
      <c r="C3" t="s">
        <v>26</v>
      </c>
      <c r="D3" t="s">
        <v>27</v>
      </c>
      <c r="E3" t="s">
        <v>26</v>
      </c>
      <c r="F3" t="s">
        <v>26</v>
      </c>
    </row>
    <row r="4" spans="1:6" x14ac:dyDescent="0.25">
      <c r="A4" t="s">
        <v>27</v>
      </c>
      <c r="B4" t="s">
        <v>27</v>
      </c>
      <c r="C4" t="s">
        <v>27</v>
      </c>
      <c r="E4" t="s">
        <v>27</v>
      </c>
      <c r="F4" t="s">
        <v>27</v>
      </c>
    </row>
    <row r="19" spans="2:6" x14ac:dyDescent="0.25">
      <c r="B19">
        <v>0</v>
      </c>
      <c r="C19">
        <v>0</v>
      </c>
      <c r="D19">
        <v>0</v>
      </c>
      <c r="F19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5EE10-843D-4CB8-9849-79909F37BF0E}">
  <sheetPr codeName="Лист8"/>
  <dimension ref="A1:I19"/>
  <sheetViews>
    <sheetView workbookViewId="0">
      <selection activeCell="G19" sqref="G19"/>
    </sheetView>
  </sheetViews>
  <sheetFormatPr defaultRowHeight="15" x14ac:dyDescent="0.25"/>
  <cols>
    <col min="1" max="1" width="33.85546875" customWidth="1"/>
    <col min="2" max="2" width="26.42578125" customWidth="1"/>
    <col min="3" max="3" width="29.85546875" customWidth="1"/>
    <col min="4" max="4" width="26.7109375" customWidth="1"/>
    <col min="5" max="5" width="26.85546875" customWidth="1"/>
    <col min="6" max="6" width="26.7109375" customWidth="1"/>
    <col min="7" max="7" width="31" customWidth="1"/>
    <col min="8" max="8" width="38.140625" customWidth="1"/>
    <col min="9" max="9" width="27" customWidth="1"/>
  </cols>
  <sheetData>
    <row r="1" spans="1:9" x14ac:dyDescent="0.25">
      <c r="A1" s="11" t="s">
        <v>56</v>
      </c>
      <c r="B1" t="s">
        <v>1</v>
      </c>
      <c r="C1" t="s">
        <v>2</v>
      </c>
      <c r="D1" t="s">
        <v>7</v>
      </c>
      <c r="E1" t="s">
        <v>3</v>
      </c>
      <c r="F1" t="s">
        <v>4</v>
      </c>
      <c r="G1" t="s">
        <v>5</v>
      </c>
      <c r="H1" t="s">
        <v>8</v>
      </c>
      <c r="I1" t="s">
        <v>9</v>
      </c>
    </row>
    <row r="2" spans="1:9" x14ac:dyDescent="0.25">
      <c r="A2" t="s">
        <v>18</v>
      </c>
      <c r="B2" t="s">
        <v>18</v>
      </c>
      <c r="C2" t="s">
        <v>18</v>
      </c>
      <c r="D2" t="s">
        <v>18</v>
      </c>
      <c r="E2" t="s">
        <v>18</v>
      </c>
      <c r="F2" t="s">
        <v>18</v>
      </c>
      <c r="G2" t="s">
        <v>18</v>
      </c>
      <c r="H2" t="s">
        <v>18</v>
      </c>
      <c r="I2" t="s">
        <v>18</v>
      </c>
    </row>
    <row r="3" spans="1:9" x14ac:dyDescent="0.25">
      <c r="A3" t="s">
        <v>17</v>
      </c>
      <c r="B3" t="s">
        <v>17</v>
      </c>
      <c r="C3" t="s">
        <v>17</v>
      </c>
      <c r="D3" t="s">
        <v>17</v>
      </c>
      <c r="E3" t="s">
        <v>17</v>
      </c>
      <c r="F3" t="s">
        <v>17</v>
      </c>
      <c r="G3" t="s">
        <v>17</v>
      </c>
      <c r="H3" t="s">
        <v>19</v>
      </c>
    </row>
    <row r="4" spans="1:9" x14ac:dyDescent="0.25">
      <c r="A4" t="s">
        <v>19</v>
      </c>
      <c r="B4" t="s">
        <v>19</v>
      </c>
      <c r="C4" t="s">
        <v>19</v>
      </c>
      <c r="D4" t="s">
        <v>19</v>
      </c>
      <c r="E4" t="s">
        <v>19</v>
      </c>
      <c r="F4" t="s">
        <v>19</v>
      </c>
      <c r="G4" t="s">
        <v>19</v>
      </c>
      <c r="H4" t="s">
        <v>22</v>
      </c>
    </row>
    <row r="5" spans="1:9" x14ac:dyDescent="0.25">
      <c r="A5" t="s">
        <v>20</v>
      </c>
      <c r="B5" t="s">
        <v>20</v>
      </c>
      <c r="C5" t="s">
        <v>20</v>
      </c>
      <c r="D5" t="s">
        <v>22</v>
      </c>
      <c r="F5" t="s">
        <v>20</v>
      </c>
      <c r="G5" t="s">
        <v>22</v>
      </c>
      <c r="H5" t="s">
        <v>42</v>
      </c>
    </row>
    <row r="6" spans="1:9" x14ac:dyDescent="0.25">
      <c r="A6" t="s">
        <v>21</v>
      </c>
      <c r="B6" t="s">
        <v>21</v>
      </c>
      <c r="C6" t="s">
        <v>21</v>
      </c>
      <c r="D6" t="s">
        <v>42</v>
      </c>
      <c r="F6" t="s">
        <v>21</v>
      </c>
      <c r="G6" t="s">
        <v>42</v>
      </c>
      <c r="H6" t="s">
        <v>23</v>
      </c>
    </row>
    <row r="7" spans="1:9" x14ac:dyDescent="0.25">
      <c r="A7" t="s">
        <v>22</v>
      </c>
      <c r="B7" t="s">
        <v>57</v>
      </c>
      <c r="C7" t="s">
        <v>57</v>
      </c>
      <c r="D7" t="s">
        <v>23</v>
      </c>
      <c r="F7" t="s">
        <v>57</v>
      </c>
      <c r="G7" t="s">
        <v>23</v>
      </c>
      <c r="H7" t="s">
        <v>43</v>
      </c>
    </row>
    <row r="8" spans="1:9" x14ac:dyDescent="0.25">
      <c r="A8" t="s">
        <v>42</v>
      </c>
      <c r="B8" t="s">
        <v>58</v>
      </c>
      <c r="C8" t="s">
        <v>58</v>
      </c>
      <c r="D8" t="s">
        <v>43</v>
      </c>
      <c r="F8" t="s">
        <v>113</v>
      </c>
      <c r="G8" t="s">
        <v>43</v>
      </c>
    </row>
    <row r="9" spans="1:9" x14ac:dyDescent="0.25">
      <c r="A9" t="s">
        <v>23</v>
      </c>
      <c r="B9" t="s">
        <v>22</v>
      </c>
      <c r="C9" t="s">
        <v>22</v>
      </c>
      <c r="F9" t="s">
        <v>22</v>
      </c>
      <c r="G9" t="s">
        <v>24</v>
      </c>
    </row>
    <row r="10" spans="1:9" x14ac:dyDescent="0.25">
      <c r="A10" t="s">
        <v>43</v>
      </c>
      <c r="B10" t="s">
        <v>42</v>
      </c>
      <c r="C10" t="s">
        <v>42</v>
      </c>
      <c r="F10" t="s">
        <v>42</v>
      </c>
      <c r="G10" t="s">
        <v>44</v>
      </c>
    </row>
    <row r="11" spans="1:9" x14ac:dyDescent="0.25">
      <c r="A11" t="s">
        <v>24</v>
      </c>
      <c r="B11" t="s">
        <v>23</v>
      </c>
      <c r="C11" t="s">
        <v>23</v>
      </c>
      <c r="F11" t="s">
        <v>23</v>
      </c>
      <c r="G11" t="s">
        <v>76</v>
      </c>
    </row>
    <row r="12" spans="1:9" x14ac:dyDescent="0.25">
      <c r="A12" t="s">
        <v>44</v>
      </c>
      <c r="B12" t="s">
        <v>43</v>
      </c>
      <c r="C12" t="s">
        <v>43</v>
      </c>
      <c r="F12" t="s">
        <v>43</v>
      </c>
      <c r="G12" t="s">
        <v>77</v>
      </c>
    </row>
    <row r="13" spans="1:9" x14ac:dyDescent="0.25">
      <c r="B13" t="s">
        <v>24</v>
      </c>
      <c r="C13" t="s">
        <v>24</v>
      </c>
      <c r="F13" t="s">
        <v>24</v>
      </c>
    </row>
    <row r="14" spans="1:9" x14ac:dyDescent="0.25">
      <c r="B14" t="s">
        <v>44</v>
      </c>
      <c r="C14" t="s">
        <v>44</v>
      </c>
      <c r="F14" t="s">
        <v>44</v>
      </c>
    </row>
    <row r="15" spans="1:9" x14ac:dyDescent="0.25">
      <c r="F15" t="s">
        <v>76</v>
      </c>
    </row>
    <row r="16" spans="1:9" x14ac:dyDescent="0.25">
      <c r="F16" t="s">
        <v>77</v>
      </c>
    </row>
    <row r="19" spans="1:8" x14ac:dyDescent="0.25">
      <c r="A19">
        <v>0</v>
      </c>
      <c r="B19">
        <v>0</v>
      </c>
      <c r="C19">
        <v>0</v>
      </c>
      <c r="G19">
        <v>0</v>
      </c>
      <c r="H19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FF2D8-67F6-4B9F-943D-AED28BFEE66A}">
  <sheetPr codeName="Лист9"/>
  <dimension ref="A1:A10"/>
  <sheetViews>
    <sheetView workbookViewId="0">
      <selection activeCell="A3" sqref="A3"/>
    </sheetView>
  </sheetViews>
  <sheetFormatPr defaultRowHeight="15" x14ac:dyDescent="0.25"/>
  <cols>
    <col min="1" max="1" width="29.28515625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8</v>
      </c>
    </row>
    <row r="4" spans="1:1" x14ac:dyDescent="0.25">
      <c r="A4" t="s">
        <v>5</v>
      </c>
    </row>
    <row r="5" spans="1:1" x14ac:dyDescent="0.25">
      <c r="A5" t="s">
        <v>3</v>
      </c>
    </row>
    <row r="6" spans="1:1" x14ac:dyDescent="0.25">
      <c r="A6" t="s">
        <v>9</v>
      </c>
    </row>
    <row r="7" spans="1:1" x14ac:dyDescent="0.25">
      <c r="A7" t="s">
        <v>7</v>
      </c>
    </row>
    <row r="8" spans="1:1" x14ac:dyDescent="0.25">
      <c r="A8" t="s">
        <v>2</v>
      </c>
    </row>
    <row r="9" spans="1:1" x14ac:dyDescent="0.25">
      <c r="A9" t="s">
        <v>56</v>
      </c>
    </row>
    <row r="10" spans="1:1" x14ac:dyDescent="0.25">
      <c r="A10" t="s">
        <v>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Калькулятор</vt:lpstr>
      <vt:lpstr>Типы станков</vt:lpstr>
      <vt:lpstr>Лист1</vt:lpstr>
      <vt:lpstr>Получение данных для расчета</vt:lpstr>
      <vt:lpstr>Лист3</vt:lpstr>
      <vt:lpstr>Параметры заготовки</vt:lpstr>
      <vt:lpstr>Параметры изделий</vt:lpstr>
      <vt:lpstr>Типы изделий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Гожко Николай Алексеевич</dc:creator>
  <cp:lastModifiedBy>Леонид Викторович Клименко</cp:lastModifiedBy>
  <cp:lastPrinted>2025-11-11T10:55:09Z</cp:lastPrinted>
  <dcterms:created xsi:type="dcterms:W3CDTF">2025-10-29T07:41:08Z</dcterms:created>
  <dcterms:modified xsi:type="dcterms:W3CDTF">2025-11-11T11:20:12Z</dcterms:modified>
</cp:coreProperties>
</file>